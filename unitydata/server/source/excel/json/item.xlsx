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Project-kapai\concept\data\excel\xml配置表\新表\"/>
    </mc:Choice>
  </mc:AlternateContent>
  <bookViews>
    <workbookView xWindow="0" yWindow="0" windowWidth="28800" windowHeight="12540"/>
  </bookViews>
  <sheets>
    <sheet name="Sheet1" sheetId="1" r:id="rId1"/>
    <sheet name="Sheet2" sheetId="2" r:id="rId2"/>
    <sheet name="Sheet3" sheetId="3" r:id="rId3"/>
  </sheets>
  <definedNames>
    <definedName name="_xlnm._FilterDatabase" localSheetId="0" hidden="1">Sheet1!$I$1:$I$1397</definedName>
  </definedNames>
  <calcPr calcId="162913"/>
</workbook>
</file>

<file path=xl/calcChain.xml><?xml version="1.0" encoding="utf-8"?>
<calcChain xmlns="http://schemas.openxmlformats.org/spreadsheetml/2006/main">
  <c r="E91" i="1" l="1"/>
  <c r="E92" i="1"/>
  <c r="E93" i="1"/>
  <c r="E94" i="1"/>
  <c r="E95" i="1"/>
  <c r="E96" i="1"/>
  <c r="E97" i="1"/>
  <c r="E98"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51" i="1"/>
  <c r="E153" i="1" l="1"/>
  <c r="E161" i="1" s="1"/>
  <c r="E169" i="1" s="1"/>
  <c r="E177" i="1" s="1"/>
  <c r="E154" i="1"/>
  <c r="E162" i="1" s="1"/>
  <c r="E170" i="1" s="1"/>
  <c r="E178" i="1" s="1"/>
  <c r="E155" i="1"/>
  <c r="E163" i="1" s="1"/>
  <c r="E171" i="1" s="1"/>
  <c r="E179" i="1" s="1"/>
  <c r="E156" i="1"/>
  <c r="E164" i="1" s="1"/>
  <c r="E172" i="1" s="1"/>
  <c r="E180" i="1" s="1"/>
  <c r="E157" i="1"/>
  <c r="E165" i="1" s="1"/>
  <c r="E173" i="1" s="1"/>
  <c r="E181" i="1" s="1"/>
  <c r="E158" i="1"/>
  <c r="E166" i="1" s="1"/>
  <c r="E174" i="1" s="1"/>
  <c r="E182" i="1" s="1"/>
  <c r="E159" i="1"/>
  <c r="E167" i="1" s="1"/>
  <c r="E175" i="1" s="1"/>
  <c r="E183" i="1" s="1"/>
  <c r="E152" i="1"/>
  <c r="E160" i="1" s="1"/>
  <c r="E168" i="1" s="1"/>
  <c r="E176" i="1" s="1"/>
  <c r="M37" i="1" l="1"/>
</calcChain>
</file>

<file path=xl/comments1.xml><?xml version="1.0" encoding="utf-8"?>
<comments xmlns="http://schemas.openxmlformats.org/spreadsheetml/2006/main">
  <authors>
    <author>作者</author>
  </authors>
  <commentList>
    <comment ref="E3" authorId="0" shapeId="0">
      <text>
        <r>
          <rPr>
            <b/>
            <sz val="9"/>
            <rFont val="宋体"/>
            <family val="3"/>
            <charset val="134"/>
          </rPr>
          <t>作者:</t>
        </r>
        <r>
          <rPr>
            <sz val="9"/>
            <rFont val="宋体"/>
            <family val="3"/>
            <charset val="134"/>
          </rPr>
          <t xml:space="preserve">
1-白
2-绿
3-蓝
4-紫
5-橙
6-红
7-金
</t>
        </r>
      </text>
    </comment>
    <comment ref="F3" authorId="0" shapeId="0">
      <text>
        <r>
          <rPr>
            <b/>
            <sz val="9"/>
            <rFont val="宋体"/>
            <family val="3"/>
            <charset val="134"/>
          </rPr>
          <t>作者:</t>
        </r>
        <r>
          <rPr>
            <sz val="9"/>
            <rFont val="宋体"/>
            <family val="3"/>
            <charset val="134"/>
          </rPr>
          <t xml:space="preserve">
1 普通道具
2 神将碎片
3 神将经验丹
4 精炼经验道具
5 普通宝箱
6 N选1宝箱
7 神将装备碎片
8 法宝碎片
9 坐骑碎片
10 翅膀碎片
11 活动道具
12 称号道具
13 资源道具
14 体力丹
15 法宝经验书
16 法宝碎片</t>
        </r>
      </text>
    </comment>
    <comment ref="G3" authorId="0" shapeId="0">
      <text>
        <r>
          <rPr>
            <b/>
            <sz val="9"/>
            <rFont val="宋体"/>
            <family val="3"/>
            <charset val="134"/>
          </rPr>
          <t>作者:</t>
        </r>
        <r>
          <rPr>
            <sz val="9"/>
            <rFont val="宋体"/>
            <family val="3"/>
            <charset val="134"/>
          </rPr>
          <t xml:space="preserve">
0 不可使用
1 一次只能使用一个
2 按照输入数量使用
3 自动使用</t>
        </r>
      </text>
    </comment>
    <comment ref="H3" authorId="0" shapeId="0">
      <text>
        <r>
          <rPr>
            <b/>
            <sz val="9"/>
            <rFont val="宋体"/>
            <family val="3"/>
            <charset val="134"/>
          </rPr>
          <t>作者:</t>
        </r>
        <r>
          <rPr>
            <sz val="9"/>
            <rFont val="宋体"/>
            <family val="3"/>
            <charset val="134"/>
          </rPr>
          <t xml:space="preserve">
根据物品类型配置
1,经验道具  资源类型，值
2 N选1宝箱  N选1宝箱匹配内容
3 资源道具 资源类型，值</t>
        </r>
      </text>
    </comment>
    <comment ref="J3" authorId="0" shapeId="0">
      <text>
        <r>
          <rPr>
            <b/>
            <sz val="9"/>
            <rFont val="宋体"/>
            <family val="3"/>
            <charset val="134"/>
          </rPr>
          <t>作者:</t>
        </r>
        <r>
          <rPr>
            <sz val="9"/>
            <rFont val="宋体"/>
            <family val="3"/>
            <charset val="134"/>
          </rPr>
          <t xml:space="preserve">
1，限时道具[0，时长]，从获得时开始计时，之后物品消失
2，活动道具[活动ID，售卖时长] 活动期间可以使用，售卖时长是从活动结束时计算，这期间可以出售，之后物品消失</t>
        </r>
      </text>
    </comment>
  </commentList>
</comments>
</file>

<file path=xl/comments2.xml><?xml version="1.0" encoding="utf-8"?>
<comments xmlns="http://schemas.openxmlformats.org/spreadsheetml/2006/main">
  <authors>
    <author>作者</author>
  </authors>
  <commentList>
    <comment ref="E3" authorId="0" shapeId="0">
      <text>
        <r>
          <rPr>
            <b/>
            <sz val="9"/>
            <rFont val="宋体"/>
            <family val="3"/>
            <charset val="134"/>
          </rPr>
          <t>作者:</t>
        </r>
        <r>
          <rPr>
            <sz val="9"/>
            <rFont val="宋体"/>
            <family val="3"/>
            <charset val="134"/>
          </rPr>
          <t xml:space="preserve">
1.物品
2.英雄碎片
</t>
        </r>
      </text>
    </comment>
    <comment ref="F3" authorId="0" shapeId="0">
      <text>
        <r>
          <rPr>
            <b/>
            <sz val="9"/>
            <rFont val="宋体"/>
            <family val="3"/>
            <charset val="134"/>
          </rPr>
          <t>作者:</t>
        </r>
        <r>
          <rPr>
            <sz val="9"/>
            <rFont val="宋体"/>
            <family val="3"/>
            <charset val="134"/>
          </rPr>
          <t xml:space="preserve">
0 不可使用
1 一次只能使用一个
2 按照输入数量使用
3 自动使用</t>
        </r>
      </text>
    </comment>
    <comment ref="G3" authorId="0" shapeId="0">
      <text>
        <r>
          <rPr>
            <b/>
            <sz val="9"/>
            <rFont val="宋体"/>
            <family val="3"/>
            <charset val="134"/>
          </rPr>
          <t>作者:</t>
        </r>
        <r>
          <rPr>
            <sz val="9"/>
            <rFont val="宋体"/>
            <family val="3"/>
            <charset val="134"/>
          </rPr>
          <t xml:space="preserve">
0 不可使用
1 可使用</t>
        </r>
      </text>
    </comment>
    <comment ref="H3" authorId="0" shapeId="0">
      <text>
        <r>
          <rPr>
            <b/>
            <sz val="9"/>
            <rFont val="宋体"/>
            <family val="3"/>
            <charset val="134"/>
          </rPr>
          <t>作者:</t>
        </r>
        <r>
          <rPr>
            <sz val="9"/>
            <rFont val="宋体"/>
            <family val="3"/>
            <charset val="134"/>
          </rPr>
          <t xml:space="preserve">
1,生命药水，属性类型，属性值
2,魔法药水，属性类型，属性值
3,经验药水，属性类型，属性值
4,卷轴
5,资源道具，资源类型，值</t>
        </r>
      </text>
    </comment>
    <comment ref="I3" authorId="0" shapeId="0">
      <text>
        <r>
          <rPr>
            <b/>
            <sz val="9"/>
            <rFont val="宋体"/>
            <family val="3"/>
            <charset val="134"/>
          </rPr>
          <t>作者:</t>
        </r>
        <r>
          <rPr>
            <sz val="9"/>
            <rFont val="宋体"/>
            <family val="3"/>
            <charset val="134"/>
          </rPr>
          <t xml:space="preserve">
叠加数量
1表示不可叠加
其他表示可叠加数量上限</t>
        </r>
      </text>
    </comment>
    <comment ref="J3" authorId="0" shapeId="0">
      <text>
        <r>
          <rPr>
            <b/>
            <sz val="9"/>
            <rFont val="宋体"/>
            <family val="3"/>
            <charset val="134"/>
          </rPr>
          <t>作者:</t>
        </r>
        <r>
          <rPr>
            <sz val="9"/>
            <rFont val="宋体"/>
            <family val="3"/>
            <charset val="134"/>
          </rPr>
          <t xml:space="preserve">
0 不可丢弃
1 可丢弃</t>
        </r>
      </text>
    </comment>
    <comment ref="K3" authorId="0" shapeId="0">
      <text>
        <r>
          <rPr>
            <b/>
            <sz val="9"/>
            <rFont val="宋体"/>
            <family val="3"/>
            <charset val="134"/>
          </rPr>
          <t>作者:</t>
        </r>
        <r>
          <rPr>
            <sz val="9"/>
            <rFont val="宋体"/>
            <family val="3"/>
            <charset val="134"/>
          </rPr>
          <t xml:space="preserve">
1 白色
2 绿色
3 蓝色
4 紫色
5 金色
6 粉色
7 红色</t>
        </r>
      </text>
    </comment>
  </commentList>
</comments>
</file>

<file path=xl/sharedStrings.xml><?xml version="1.0" encoding="utf-8"?>
<sst xmlns="http://schemas.openxmlformats.org/spreadsheetml/2006/main" count="1522" uniqueCount="712">
  <si>
    <t>id</t>
  </si>
  <si>
    <t>name</t>
  </si>
  <si>
    <t>des</t>
  </si>
  <si>
    <t>pic</t>
  </si>
  <si>
    <t>quality</t>
  </si>
  <si>
    <t>type</t>
  </si>
  <si>
    <t>use_type</t>
  </si>
  <si>
    <t>sub_value</t>
  </si>
  <si>
    <t>limit_lv</t>
  </si>
  <si>
    <t>limit_time</t>
  </si>
  <si>
    <t>sell</t>
  </si>
  <si>
    <t>sort_priority</t>
  </si>
  <si>
    <t>jiage</t>
  </si>
  <si>
    <t>item_from</t>
  </si>
  <si>
    <t>item_source</t>
  </si>
  <si>
    <t>script</t>
  </si>
  <si>
    <t>all</t>
  </si>
  <si>
    <t>名称</t>
  </si>
  <si>
    <t>描述</t>
  </si>
  <si>
    <t>图标</t>
  </si>
  <si>
    <t>品质</t>
  </si>
  <si>
    <t>物品类型</t>
  </si>
  <si>
    <t>使用类型</t>
  </si>
  <si>
    <t>额外效果配置</t>
  </si>
  <si>
    <t>使用等级限制</t>
  </si>
  <si>
    <t>时间限制</t>
  </si>
  <si>
    <t>是否可出售</t>
  </si>
  <si>
    <t>排序权重</t>
  </si>
  <si>
    <t>售价 金币</t>
  </si>
  <si>
    <t>来源描述</t>
  </si>
  <si>
    <t>根据function_level表和200.lua</t>
  </si>
  <si>
    <t>脚本</t>
  </si>
  <si>
    <t>int</t>
  </si>
  <si>
    <t>string</t>
  </si>
  <si>
    <t>arrays</t>
  </si>
  <si>
    <t>array</t>
  </si>
  <si>
    <t>金币</t>
  </si>
  <si>
    <t>[60000,1]</t>
  </si>
  <si>
    <t>元宝</t>
  </si>
  <si>
    <t>[60001,1]</t>
  </si>
  <si>
    <t>初级精炼石</t>
  </si>
  <si>
    <t>装备洗炼属性时使用，用于重新生成装备的洗炼属性，只能洗出10星及以下的属性</t>
  </si>
  <si>
    <t>[60017,10]</t>
  </si>
  <si>
    <t>来源：商城、英勇试炼、锻造礼盒</t>
  </si>
  <si>
    <t>210;30;17</t>
  </si>
  <si>
    <t>中级精炼石</t>
  </si>
  <si>
    <t>用于装备洗炼时锁定某条属性，在下次洗炼操作中锁定的属性不会发生变化</t>
  </si>
  <si>
    <t>[60017,20]</t>
  </si>
  <si>
    <t>来源：商城、帮贡商城、英勇试炼、锻造礼盒</t>
  </si>
  <si>
    <t>210;125;30;17</t>
  </si>
  <si>
    <t>高级精炼石</t>
  </si>
  <si>
    <t>用于淬炼装备的辅助材料，配合炼化石可大幅度提升装备的淬炼属性</t>
  </si>
  <si>
    <t>[60017,50]</t>
  </si>
  <si>
    <t>来源：商城、淬炼副本、帮贡商城</t>
  </si>
  <si>
    <t>210;240-204;125</t>
  </si>
  <si>
    <t>特级精炼石</t>
  </si>
  <si>
    <t>蕴含远古神兽的血脉，是神将修炼天赋的一种必需材料</t>
  </si>
  <si>
    <t>[60017,100]</t>
  </si>
  <si>
    <t>来源：商城、帮贡商城、维护丹园、百花礼盒</t>
  </si>
  <si>
    <t>210;125;25;8</t>
  </si>
  <si>
    <t>初级神将内丹</t>
  </si>
  <si>
    <t>炼制的初级内丹，使用后可以提升200点神将经验</t>
  </si>
  <si>
    <t>来源：副本-蓬莱仙山、杂货商城</t>
  </si>
  <si>
    <t>240;214</t>
  </si>
  <si>
    <t>中级神将内丹</t>
  </si>
  <si>
    <t>炼制的中级内丹，使用后可以提升500点神将经验</t>
  </si>
  <si>
    <t>来源：副本-岱屿结界、副本-诛仙绝地、帮派种植、藏宝图、杂货商城</t>
  </si>
  <si>
    <t>240;28;29;214</t>
  </si>
  <si>
    <t>高级神将内丹</t>
  </si>
  <si>
    <t>炼制的高级内丹，使用后可以提升2500点神将经验</t>
  </si>
  <si>
    <t>来源：商城、百花礼盒、欢乐礼盒</t>
  </si>
  <si>
    <t>210;8;9</t>
  </si>
  <si>
    <t>特级神将内丹</t>
  </si>
  <si>
    <t>炼制的特级内丹，使用后可以提升12500点神将经验</t>
  </si>
  <si>
    <t>来源：百花礼盒、欢乐礼盒</t>
  </si>
  <si>
    <t>8;9</t>
  </si>
  <si>
    <t>来源：强化副本、商城</t>
  </si>
  <si>
    <t>240-202;210</t>
  </si>
  <si>
    <t>来源：六界使者、强化副本、、商城【背包-合成】</t>
  </si>
  <si>
    <t>33;240-202;210;112</t>
  </si>
  <si>
    <t>来源：商城、【背包-合成】</t>
  </si>
  <si>
    <t>210;112</t>
  </si>
  <si>
    <t>5级强化宝石</t>
  </si>
  <si>
    <t>强化等级16至19时使用，失败不降强化等级</t>
  </si>
  <si>
    <t>百花礼盒</t>
  </si>
  <si>
    <t>打开有几率获得特级神将内丹、十连招募券、阵法书等神将相关稀有道具</t>
  </si>
  <si>
    <t>来源：百花仙子、百花碎片合成</t>
  </si>
  <si>
    <t>8;</t>
  </si>
  <si>
    <t>欢乐礼盒</t>
  </si>
  <si>
    <t>打开有几率获得神将天书、中级洗炼石、阵法书等稀有道具</t>
  </si>
  <si>
    <t>来源：欢乐作战</t>
  </si>
  <si>
    <t>9;</t>
  </si>
  <si>
    <t>锻造礼盒</t>
  </si>
  <si>
    <t>打开有几率获中级洗炼石、幸运符和炼化石等装备锻造相关稀有道具</t>
  </si>
  <si>
    <t>来源：挑战灵魔</t>
  </si>
  <si>
    <t>17;</t>
  </si>
  <si>
    <t>三上悠亚大礼包</t>
  </si>
  <si>
    <t>各种神奇物品</t>
  </si>
  <si>
    <t>来源：商城</t>
  </si>
  <si>
    <t>210;</t>
  </si>
  <si>
    <t>神将升星礼包</t>
  </si>
  <si>
    <t>打开可以获得10000点神魂之魄，用于神将升星</t>
  </si>
  <si>
    <t>星宿精华礼盒</t>
  </si>
  <si>
    <t>打开可以获得10000点星宿精华，用于神将装备强化</t>
  </si>
  <si>
    <t>测试多选一礼包</t>
  </si>
  <si>
    <t>[610,10],[851,5],[1114,1]</t>
  </si>
  <si>
    <t>0,3600</t>
  </si>
  <si>
    <t>活动测试道具</t>
  </si>
  <si>
    <t>用于神将招募，集中念力也许能够招募到未知的神将</t>
  </si>
  <si>
    <t>101,259200</t>
  </si>
  <si>
    <t>金币大礼包</t>
  </si>
  <si>
    <t>使用后可以获得25000金币，有一定几率回赠部分绑元</t>
  </si>
  <si>
    <t>女娲娘娘神魂</t>
  </si>
  <si>
    <t>集齐60个后在神将图鉴界面可以召唤出3星女娲娘娘</t>
  </si>
  <si>
    <t>来源：贵族</t>
  </si>
  <si>
    <t>接引道人神魂</t>
  </si>
  <si>
    <t>集齐60个后在神将图鉴界面可以召唤出3星接引道人</t>
  </si>
  <si>
    <t>来源：充值活动等</t>
  </si>
  <si>
    <t>准提道人神魂</t>
  </si>
  <si>
    <t>集齐60个后在神将图鉴界面可以召唤出3星准提道人</t>
  </si>
  <si>
    <t>孔宣神魂</t>
  </si>
  <si>
    <t>集齐60个后在神将图鉴界面可以召唤出3星孔宣</t>
  </si>
  <si>
    <t>多宝道人神魂</t>
  </si>
  <si>
    <t>集齐60个后在神将图鉴界面可以召唤出3星多宝道人</t>
  </si>
  <si>
    <t>金灵圣母神魂</t>
  </si>
  <si>
    <t>集齐60个后在神将图鉴界面可以召唤出3星金灵圣母</t>
  </si>
  <si>
    <t>哪吒神魂</t>
  </si>
  <si>
    <t>集齐10个后在神将图鉴界面可以召唤出3星哪吒</t>
  </si>
  <si>
    <t>杨戬神魂</t>
  </si>
  <si>
    <t>集齐10个后在神将图鉴界面可以召唤出3星杨戬</t>
  </si>
  <si>
    <t>来源：历练塔100层首通</t>
  </si>
  <si>
    <t>14;</t>
  </si>
  <si>
    <t>雷震子神魂</t>
  </si>
  <si>
    <t>集齐10个后在神将图鉴界面可以召唤出3星雷震子</t>
  </si>
  <si>
    <t>来源：招募、积分商城</t>
  </si>
  <si>
    <t>160;216</t>
  </si>
  <si>
    <t>姜子牙神魂</t>
  </si>
  <si>
    <t>集齐10个后在神将图鉴界面可以召唤出2星姜子牙</t>
  </si>
  <si>
    <t>来源：首充奖励</t>
  </si>
  <si>
    <t>韦护神魂</t>
  </si>
  <si>
    <t>集齐10个后在神将图鉴界面可以召唤出3星韦护</t>
  </si>
  <si>
    <t>来源：招募</t>
  </si>
  <si>
    <t>160;</t>
  </si>
  <si>
    <t>赵公明神魂</t>
  </si>
  <si>
    <t>集齐10个后在神将图鉴界面可以召唤出3星赵公明</t>
  </si>
  <si>
    <t>云霄神魂</t>
  </si>
  <si>
    <t>集齐10个后在神将图鉴界面可以召唤出3星云霄</t>
  </si>
  <si>
    <t>来源：招募、帮贡商城</t>
  </si>
  <si>
    <t>160;125</t>
  </si>
  <si>
    <t>琼霄神魂</t>
  </si>
  <si>
    <t>集齐10个后在神将图鉴界面可以召唤出3星琼霄</t>
  </si>
  <si>
    <t>来源：历练塔80层首通</t>
  </si>
  <si>
    <t>碧霄神魂</t>
  </si>
  <si>
    <t>集齐10个后在神将图鉴界面可以召唤出3星碧霄</t>
  </si>
  <si>
    <t>太乙真人神魂</t>
  </si>
  <si>
    <t>集齐10个后在神将图鉴界面可以召唤出3星太乙真人</t>
  </si>
  <si>
    <t>黄飞虎神魂</t>
  </si>
  <si>
    <t>集齐10个后在神将图鉴界面可以召唤出3星黄飞虎</t>
  </si>
  <si>
    <t>申公豹神魂</t>
  </si>
  <si>
    <t>集齐10个后在神将图鉴界面可以召唤出2星申公豹</t>
  </si>
  <si>
    <t>闻仲神魂</t>
  </si>
  <si>
    <t>集齐10个后在神将图鉴界面可以召唤出3星闻仲</t>
  </si>
  <si>
    <t>李靖神魂</t>
  </si>
  <si>
    <t>集齐10个后在神将图鉴界面可以召唤出2星李靖</t>
  </si>
  <si>
    <t>玉鼎真人神魂</t>
  </si>
  <si>
    <t>集齐10个后在神将图鉴界面可以召唤出2星玉鼎真人</t>
  </si>
  <si>
    <t>来源：历练塔40层首通</t>
  </si>
  <si>
    <t>帝辛神魂</t>
  </si>
  <si>
    <t>集齐10个后在神将图鉴界面可以召唤出2星帝辛</t>
  </si>
  <si>
    <t>伯邑考神魂</t>
  </si>
  <si>
    <t>集齐10个后在神将图鉴界面可以召唤出2星伯邑考</t>
  </si>
  <si>
    <t>来源：七日登录奖励</t>
  </si>
  <si>
    <t>姬发神魂</t>
  </si>
  <si>
    <t>集齐10个后在神将图鉴界面可以召唤出2星姬发</t>
  </si>
  <si>
    <t>袁洪神魂</t>
  </si>
  <si>
    <t>集齐10个后在神将图鉴界面可以召唤出2星袁洪</t>
  </si>
  <si>
    <t>黄天化神魂</t>
  </si>
  <si>
    <t>集齐10个后在神将图鉴界面可以召唤出1星黄天化</t>
  </si>
  <si>
    <t>妲己神魂</t>
  </si>
  <si>
    <t>集齐10个后在神将图鉴界面可以召唤出1星妲己</t>
  </si>
  <si>
    <t>来源：历练塔60层首通</t>
  </si>
  <si>
    <t>金吒神魂</t>
  </si>
  <si>
    <t>集齐10个后在神将图鉴界面可以召唤出1星金吒</t>
  </si>
  <si>
    <t>比干神魂</t>
  </si>
  <si>
    <t>集齐10个后在神将图鉴界面可以召唤出1星比干</t>
  </si>
  <si>
    <t>土行孙神魂</t>
  </si>
  <si>
    <t>集齐10个后在神将图鉴界面可以召唤出1星土行孙</t>
  </si>
  <si>
    <t>邓婵玉神魂</t>
  </si>
  <si>
    <t>集齐10个后在神将图鉴界面可以召唤出1星邓婵玉</t>
  </si>
  <si>
    <t>殷洪神魂</t>
  </si>
  <si>
    <t>集齐10个后在神将图鉴界面可以召唤出1星殷洪</t>
  </si>
  <si>
    <t>殷郊神魂</t>
  </si>
  <si>
    <t>集齐10个后在神将图鉴界面可以召唤出1星殷郊</t>
  </si>
  <si>
    <t>龙吉公主神魂</t>
  </si>
  <si>
    <t>集齐10个后在神将图鉴界面可以召唤出1星龙吉公主</t>
  </si>
  <si>
    <t>洪锦神魂</t>
  </si>
  <si>
    <t>集齐10个后在神将图鉴界面可以召唤出1星洪锦</t>
  </si>
  <si>
    <t>崇黑虎神魂</t>
  </si>
  <si>
    <t>集齐10个后在神将图鉴界面可以召唤出1星崇黑虎</t>
  </si>
  <si>
    <t>来源：历练塔15层首通</t>
  </si>
  <si>
    <t>罗宣神魂</t>
  </si>
  <si>
    <t>集齐10个后在神将图鉴界面可以召唤出1星罗宣</t>
  </si>
  <si>
    <t>武吉神魂</t>
  </si>
  <si>
    <t>集齐10个后在神将图鉴界面可以召唤出1星武吉</t>
  </si>
  <si>
    <t>木吒神魂</t>
  </si>
  <si>
    <t>集齐10个后在神将图鉴界面可以召唤出1星木吒</t>
  </si>
  <si>
    <t>胡喜媚神魂</t>
  </si>
  <si>
    <t>集齐10个后在神将图鉴界面可以召唤出1星胡喜媚</t>
  </si>
  <si>
    <t>苏全忠神魂</t>
  </si>
  <si>
    <t>集齐10个后在神将图鉴界面可以召唤出1星苏全忠</t>
  </si>
  <si>
    <t>吕岳神魂</t>
  </si>
  <si>
    <t>集齐10个后在神将图鉴界面可以召唤出1星吕岳</t>
  </si>
  <si>
    <t>来源：次日登录奖励</t>
  </si>
  <si>
    <t>张奎神魂</t>
  </si>
  <si>
    <t>集齐10个后在神将图鉴界面可以召唤出1星张奎</t>
  </si>
  <si>
    <t>高兰英神魂</t>
  </si>
  <si>
    <t>集齐10个后在神将图鉴界面可以召唤出1星高兰英</t>
  </si>
  <si>
    <t>郑伦神魂</t>
  </si>
  <si>
    <t>集齐10个后在神将图鉴界面可以召唤出1星郑伦</t>
  </si>
  <si>
    <t>陈奇神魂</t>
  </si>
  <si>
    <t>集齐10个后在神将图鉴界面可以召唤出1星陈奇</t>
  </si>
  <si>
    <t>通天教主神魂</t>
  </si>
  <si>
    <t>集齐100个后在神将图鉴界面可以召唤出4星通天教主</t>
  </si>
  <si>
    <t>太上老君神魂</t>
  </si>
  <si>
    <t>集齐100个后在神将图鉴界面可以召唤出4星太上老君</t>
  </si>
  <si>
    <t>宝物碎片</t>
  </si>
  <si>
    <t>集齐一定的数量可以兑换道具奖励</t>
  </si>
  <si>
    <t>灵物碎片</t>
  </si>
  <si>
    <t>神物碎片</t>
  </si>
  <si>
    <t>帮战君主礼包</t>
  </si>
  <si>
    <t>奖励帮派战个人积分第1名玩家的礼包，打开后可获得高级洗炼石、神将6星装备、帮贡等奖励</t>
  </si>
  <si>
    <t>来源：帮派战</t>
  </si>
  <si>
    <t>36;</t>
  </si>
  <si>
    <t>帮战霸主礼包</t>
  </si>
  <si>
    <t>奖励帮派战个人积分第2名玩家的礼包，打开后可获得中级洗炼石、神将6星装备、帮贡等奖励</t>
  </si>
  <si>
    <t>帮战强者礼包</t>
  </si>
  <si>
    <t>奖励帮派战个人积分第3名玩家的礼包，打开后可获得中级洗炼石、神将6星装备、帮贡等奖励</t>
  </si>
  <si>
    <t>帮战卓越礼包</t>
  </si>
  <si>
    <t>奖励帮派战个人积分第4~10名玩家的礼包，打开后可获得中级洗炼石、神将5星装备、帮贡等奖励</t>
  </si>
  <si>
    <t>帮战优秀礼包</t>
  </si>
  <si>
    <t>奖励帮派战个人积分第11~30名玩家的礼包，打开后可获得神将5星装备、帮贡等奖励</t>
  </si>
  <si>
    <t>帮战参与礼包</t>
  </si>
  <si>
    <t>奖励帮派战积分31名及玩家的礼包，打开后可获得神将5星装备、帮贡等奖励</t>
  </si>
  <si>
    <t>流光扇精魄</t>
  </si>
  <si>
    <t>封存着法宝流光扇灵气的特殊精魄，集齐50个可召唤出流光扇，供其骑乘</t>
  </si>
  <si>
    <t>来源：历练塔</t>
  </si>
  <si>
    <t>七星阵法书</t>
  </si>
  <si>
    <t>记载七星阵之密的书籍，用来学习七星阵或者提升七星阵等级</t>
  </si>
  <si>
    <t>来源：百花礼盒、欢乐礼盒、高级藏宝图、神秘商城</t>
  </si>
  <si>
    <t>8;9;29;211</t>
  </si>
  <si>
    <t>玄火阵法书</t>
  </si>
  <si>
    <t>记载玄火阵之密的书籍，用来学习玄火阵或者提升玄火阵等级</t>
  </si>
  <si>
    <t>急流阵法书</t>
  </si>
  <si>
    <t>记载急流阵之密的书籍，用来学习急流阵或者提升急流阵等级</t>
  </si>
  <si>
    <t>地绝阵法书</t>
  </si>
  <si>
    <t>记载地绝阵之密的书籍，用来学习地绝阵或者提升地绝阵等级</t>
  </si>
  <si>
    <t>密林阵法书</t>
  </si>
  <si>
    <t>记载密林阵之密的书籍，用来学习密林阵或者提升密林阵等级</t>
  </si>
  <si>
    <t>山岳阵法书</t>
  </si>
  <si>
    <t>记载山岳阵之密的书籍，用来学习山岳阵或者提升山岳阵等级</t>
  </si>
  <si>
    <t>火凤燎原碎片</t>
  </si>
  <si>
    <t>蕴藏着神翼的灵气，集齐50个碎片可激活羽翼“火凤燎原”</t>
  </si>
  <si>
    <t>10点贵族经验</t>
  </si>
  <si>
    <t>使用后可以提升10点贵族经验进度</t>
  </si>
  <si>
    <t>来源：七日登录、等级礼包</t>
  </si>
  <si>
    <t>50点贵族经验</t>
  </si>
  <si>
    <t>使用后可以提升50点贵族经验进度</t>
  </si>
  <si>
    <t>100点贵族经验</t>
  </si>
  <si>
    <t>使用后可以提升100点贵族经验进度</t>
  </si>
  <si>
    <t>来源：七日登录、活跃度奖励</t>
  </si>
  <si>
    <t>双</t>
  </si>
  <si>
    <t>活动道具，可在活动期间兑换奖励</t>
  </si>
  <si>
    <t>十</t>
  </si>
  <si>
    <t>二</t>
  </si>
  <si>
    <t>快</t>
  </si>
  <si>
    <t>乐</t>
  </si>
  <si>
    <t>圣</t>
  </si>
  <si>
    <t>诞</t>
  </si>
  <si>
    <t>节</t>
  </si>
  <si>
    <t>除</t>
  </si>
  <si>
    <t>夕</t>
  </si>
  <si>
    <t>称号:招宝天尊</t>
  </si>
  <si>
    <t>使用道具获得称号:招宝天尊生命值+7500   命中+500</t>
  </si>
  <si>
    <t>称号:纳珍天尊</t>
  </si>
  <si>
    <t>使用道具获得称号:纳珍天尊生命值+7500   闪避+500</t>
  </si>
  <si>
    <t>称号:招财使者</t>
  </si>
  <si>
    <t>使用道具获得称号:招财使者生命值+7500   暴击+500</t>
  </si>
  <si>
    <t>称号:利市仙官</t>
  </si>
  <si>
    <t>使用道具获得称号:利市仙官生命值+7500   抗暴+500</t>
  </si>
  <si>
    <t>称号:增长天王</t>
  </si>
  <si>
    <t>使用道具获得称号:增长天王攻击+1500  命中+500</t>
  </si>
  <si>
    <t>称号:广目天王</t>
  </si>
  <si>
    <t>使用道具获得称号:广目天王物防+1500  闪避+100</t>
  </si>
  <si>
    <t>称号:多闻天王</t>
  </si>
  <si>
    <t>使用道具获得称号:多闻天王法防+1500  暴击+500</t>
  </si>
  <si>
    <t>称号:持国天王</t>
  </si>
  <si>
    <t>使用道具获得称号:持国天王攻击+1500  抗暴+500</t>
  </si>
  <si>
    <t>称号:斗神先行者</t>
  </si>
  <si>
    <t>使用道具获得称号:斗神先行者命中率+3%  抗暴率+1.5%</t>
  </si>
  <si>
    <t>称号:斗神执道者</t>
  </si>
  <si>
    <t>使用道具获得称号:斗神先行者命中率+4%  抗暴率+2%</t>
  </si>
  <si>
    <t>dungeons_usetype</t>
  </si>
  <si>
    <t>superposition</t>
  </si>
  <si>
    <t>discard</t>
  </si>
  <si>
    <t>price</t>
  </si>
  <si>
    <t>item_into</t>
  </si>
  <si>
    <t>道具ID</t>
  </si>
  <si>
    <t>道具描述</t>
  </si>
  <si>
    <t>道具icon</t>
  </si>
  <si>
    <t>类型</t>
  </si>
  <si>
    <t>副本中是否可使用</t>
  </si>
  <si>
    <t>叠加数量</t>
  </si>
  <si>
    <t>是否可丢弃</t>
  </si>
  <si>
    <t>出售价格</t>
  </si>
  <si>
    <t>道具来源描述</t>
  </si>
  <si>
    <t>来源配置</t>
  </si>
  <si>
    <t>使用跳转</t>
  </si>
  <si>
    <t>突破丹</t>
    <phoneticPr fontId="5" type="noConversion"/>
  </si>
  <si>
    <t>觉醒石</t>
    <phoneticPr fontId="5" type="noConversion"/>
  </si>
  <si>
    <t>修炼丹</t>
    <phoneticPr fontId="5" type="noConversion"/>
  </si>
  <si>
    <t>蓝色武器啊啊啊坎坎坷坷扩扩扩扩已已已已已已已已已已已已已已已已已。</t>
    <phoneticPr fontId="5" type="noConversion"/>
  </si>
  <si>
    <t>蓝色护肩啊啊啊坎坎坷坷扩扩扩扩已已已已已已已已已已已已已已已已已。</t>
    <phoneticPr fontId="5" type="noConversion"/>
  </si>
  <si>
    <t>蓝色衣服啊啊啊坎坎坷坷扩扩扩扩已已已已已已已已已已已已已已已已已。</t>
    <phoneticPr fontId="5" type="noConversion"/>
  </si>
  <si>
    <t>蓝色护腕啊啊啊坎坎坷坷扩扩扩扩已已已已已已已已已已已已已已已已已。</t>
    <phoneticPr fontId="5" type="noConversion"/>
  </si>
  <si>
    <t>紫色武器啊啊啊坎坎坷坷扩扩扩扩已已已已已已已已已已已已已已已已已。</t>
    <phoneticPr fontId="5" type="noConversion"/>
  </si>
  <si>
    <t>紫色护肩啊啊啊坎坎坷坷扩扩扩扩已已已已已已已已已已已已已已已已已。</t>
    <phoneticPr fontId="5" type="noConversion"/>
  </si>
  <si>
    <t>紫色衣服啊啊啊坎坎坷坷扩扩扩扩已已已已已已已已已已已已已已已已已。</t>
    <phoneticPr fontId="5" type="noConversion"/>
  </si>
  <si>
    <t>紫色护腕啊啊啊坎坎坷坷扩扩扩扩已已已已已已已已已已已已已已已已已。</t>
    <phoneticPr fontId="5" type="noConversion"/>
  </si>
  <si>
    <t>紫色武器啊啊啊坎坎坷坷扩扩扩扩已已已已已已已已已已已已已已已已已。</t>
    <phoneticPr fontId="5" type="noConversion"/>
  </si>
  <si>
    <t>紫色护肩啊啊啊坎坎坷坷扩扩扩扩已已已已已已已已已已已已已已已已已。</t>
    <phoneticPr fontId="5" type="noConversion"/>
  </si>
  <si>
    <t>紫色衣服啊啊啊坎坎坷坷扩扩扩扩已已已已已已已已已已已已已已已已已。</t>
    <phoneticPr fontId="5" type="noConversion"/>
  </si>
  <si>
    <t>紫色护腕啊啊啊坎坎坷坷扩扩扩扩已已已已已已已已已已已已已已已已已。</t>
    <phoneticPr fontId="5" type="noConversion"/>
  </si>
  <si>
    <t>橙色武器啊啊啊坎坎坷坷扩扩扩扩已已已已已已已已已已已已已已已已已。</t>
    <phoneticPr fontId="5" type="noConversion"/>
  </si>
  <si>
    <t>橙色护肩啊啊啊坎坎坷坷扩扩扩扩已已已已已已已已已已已已已已已已已。</t>
    <phoneticPr fontId="5" type="noConversion"/>
  </si>
  <si>
    <t>橙色衣服啊啊啊坎坎坷坷扩扩扩扩已已已已已已已已已已已已已已已已已。</t>
    <phoneticPr fontId="5" type="noConversion"/>
  </si>
  <si>
    <t>橙色护腕啊啊啊坎坎坷坷扩扩扩扩已已已已已已已已已已已已已已已已已。</t>
    <phoneticPr fontId="5" type="noConversion"/>
  </si>
  <si>
    <t>橙色武器啊啊啊坎坎坷坷扩扩扩扩已已已已已已已已已已已已已已已已已。</t>
    <phoneticPr fontId="5" type="noConversion"/>
  </si>
  <si>
    <t>橙色衣服啊啊啊坎坎坷坷扩扩扩扩已已已已已已已已已已已已已已已已已。</t>
    <phoneticPr fontId="5" type="noConversion"/>
  </si>
  <si>
    <t>橙色护腕啊啊啊坎坎坷坷扩扩扩扩已已已已已已已已已已已已已已已已已。</t>
    <phoneticPr fontId="5" type="noConversion"/>
  </si>
  <si>
    <t>红色武器啊啊啊坎坎坷坷扩扩扩扩已已已已已已已已已已已已已已已已已。</t>
    <phoneticPr fontId="5" type="noConversion"/>
  </si>
  <si>
    <t>红色护肩啊啊啊坎坎坷坷扩扩扩扩已已已已已已已已已已已已已已已已已。</t>
    <phoneticPr fontId="5" type="noConversion"/>
  </si>
  <si>
    <t>红色衣服啊啊啊坎坎坷坷扩扩扩扩已已已已已已已已已已已已已已已已已。</t>
    <phoneticPr fontId="5" type="noConversion"/>
  </si>
  <si>
    <t>红色护腕啊啊啊坎坎坷坷扩扩扩扩已已已已已已已已已已已已已已已已已。</t>
    <phoneticPr fontId="5" type="noConversion"/>
  </si>
  <si>
    <t>红色护肩啊啊啊坎坎坷坷扩扩扩扩已已已已已已已已已已已已已已已已已。</t>
    <phoneticPr fontId="5" type="noConversion"/>
  </si>
  <si>
    <t>碎片蓝攻武器</t>
  </si>
  <si>
    <t>碎片蓝攻护肩</t>
  </si>
  <si>
    <t>碎片蓝攻衣服</t>
  </si>
  <si>
    <t>碎片蓝攻护腕</t>
  </si>
  <si>
    <t>碎片蓝防武器</t>
  </si>
  <si>
    <t>碎片蓝防护肩</t>
  </si>
  <si>
    <t>碎片蓝防衣服</t>
  </si>
  <si>
    <t>碎片蓝防护腕</t>
  </si>
  <si>
    <t>碎片紫攻武器</t>
  </si>
  <si>
    <t>碎片紫攻护肩</t>
  </si>
  <si>
    <t>碎片紫攻衣服</t>
  </si>
  <si>
    <t>碎片紫攻护腕</t>
  </si>
  <si>
    <t>碎片紫防武器</t>
  </si>
  <si>
    <t>碎片紫防护肩</t>
  </si>
  <si>
    <t>碎片紫防衣服</t>
  </si>
  <si>
    <t>碎片紫防护腕</t>
  </si>
  <si>
    <t>碎片橙攻武器</t>
  </si>
  <si>
    <t>碎片橙攻护肩</t>
  </si>
  <si>
    <t>碎片橙攻衣服</t>
  </si>
  <si>
    <t>碎片橙攻护腕</t>
  </si>
  <si>
    <t>碎片橙防武器</t>
  </si>
  <si>
    <t>碎片橙防护肩</t>
  </si>
  <si>
    <t>碎片橙防衣服</t>
  </si>
  <si>
    <t>碎片橙防护腕</t>
  </si>
  <si>
    <t>碎片红攻武器</t>
  </si>
  <si>
    <t>碎片红攻护肩</t>
  </si>
  <si>
    <t>碎片红攻衣服</t>
  </si>
  <si>
    <t>碎片红攻护腕</t>
  </si>
  <si>
    <t>碎片红防武器</t>
  </si>
  <si>
    <t>碎片红防护肩</t>
  </si>
  <si>
    <t>碎片红防衣服</t>
  </si>
  <si>
    <t>碎片红防护腕</t>
  </si>
  <si>
    <t>碎片金攻武器</t>
  </si>
  <si>
    <t>碎片金攻护肩</t>
  </si>
  <si>
    <t>碎片金攻衣服</t>
  </si>
  <si>
    <t>碎片金攻护腕</t>
  </si>
  <si>
    <t>碎片金防武器</t>
  </si>
  <si>
    <t>碎片金防护肩</t>
  </si>
  <si>
    <t>碎片金防衣服</t>
  </si>
  <si>
    <t>碎片金防护腕</t>
  </si>
  <si>
    <t>金色武器啊啊啊坎坎坷坷扩扩扩扩已已已已已已已已已已已已已已已已已。</t>
  </si>
  <si>
    <t>金色护肩啊啊啊坎坎坷坷扩扩扩扩已已已已已已已已已已已已已已已已已。</t>
  </si>
  <si>
    <t>金色衣服啊啊啊坎坎坷坷扩扩扩扩已已已已已已已已已已已已已已已已已。</t>
  </si>
  <si>
    <t>金色护腕啊啊啊坎坎坷坷扩扩扩扩已已已已已已已已已已已已已已已已已。</t>
  </si>
  <si>
    <t>pic</t>
    <phoneticPr fontId="5" type="noConversion"/>
  </si>
  <si>
    <t>[60006,200]</t>
    <phoneticPr fontId="5" type="noConversion"/>
  </si>
  <si>
    <t>[60006,500]</t>
    <phoneticPr fontId="5" type="noConversion"/>
  </si>
  <si>
    <t>[60006,2000]</t>
    <phoneticPr fontId="5" type="noConversion"/>
  </si>
  <si>
    <t>[60006,10000]</t>
    <phoneticPr fontId="5" type="noConversion"/>
  </si>
  <si>
    <t>高级招募券</t>
    <phoneticPr fontId="5" type="noConversion"/>
  </si>
  <si>
    <t>招募券</t>
    <phoneticPr fontId="5" type="noConversion"/>
  </si>
  <si>
    <t>友情招募券</t>
    <phoneticPr fontId="5" type="noConversion"/>
  </si>
  <si>
    <t>用于神将基础招募，集中念力也许能够招募到未知的神将</t>
    <phoneticPr fontId="5" type="noConversion"/>
  </si>
  <si>
    <t>用于神将高级招募，集中念力也许能够招募到未知的神将</t>
    <phoneticPr fontId="5" type="noConversion"/>
  </si>
  <si>
    <t>用于神将友情招募，集中念力也许能够招募到未知的神将</t>
    <phoneticPr fontId="5" type="noConversion"/>
  </si>
  <si>
    <t>神将突破消耗的道具</t>
    <phoneticPr fontId="5" type="noConversion"/>
  </si>
  <si>
    <t>神将培养消耗的道具</t>
    <phoneticPr fontId="5" type="noConversion"/>
  </si>
  <si>
    <t>神将修炼消耗的物品</t>
    <phoneticPr fontId="5" type="noConversion"/>
  </si>
  <si>
    <t>体力丹</t>
    <phoneticPr fontId="5" type="noConversion"/>
  </si>
  <si>
    <t>使用增加25点体力</t>
    <phoneticPr fontId="5" type="noConversion"/>
  </si>
  <si>
    <t>[60026,25]</t>
    <phoneticPr fontId="5" type="noConversion"/>
  </si>
  <si>
    <t>橙色装备盒</t>
    <phoneticPr fontId="5" type="noConversion"/>
  </si>
  <si>
    <t>红色装备盒</t>
    <phoneticPr fontId="5" type="noConversion"/>
  </si>
  <si>
    <t>金色装备盒</t>
    <phoneticPr fontId="5" type="noConversion"/>
  </si>
  <si>
    <t>蓝色装备盒</t>
    <phoneticPr fontId="5" type="noConversion"/>
  </si>
  <si>
    <t>紫色装备盒</t>
    <phoneticPr fontId="5" type="noConversion"/>
  </si>
  <si>
    <t>刷新令</t>
    <phoneticPr fontId="5" type="noConversion"/>
  </si>
  <si>
    <t>神魂</t>
    <phoneticPr fontId="5" type="noConversion"/>
  </si>
  <si>
    <t>神将魂魄</t>
    <phoneticPr fontId="5" type="noConversion"/>
  </si>
  <si>
    <t>元宝</t>
    <phoneticPr fontId="5" type="noConversion"/>
  </si>
  <si>
    <t>金币</t>
    <phoneticPr fontId="5" type="noConversion"/>
  </si>
  <si>
    <t>[60014,1]</t>
    <phoneticPr fontId="5" type="noConversion"/>
  </si>
  <si>
    <t>贵族经验</t>
    <phoneticPr fontId="5" type="noConversion"/>
  </si>
  <si>
    <t>贵族经验</t>
    <phoneticPr fontId="5" type="noConversion"/>
  </si>
  <si>
    <t>[60015,1]</t>
    <phoneticPr fontId="5" type="noConversion"/>
  </si>
  <si>
    <t>体力</t>
    <phoneticPr fontId="5" type="noConversion"/>
  </si>
  <si>
    <t>体力</t>
    <phoneticPr fontId="5" type="noConversion"/>
  </si>
  <si>
    <t>[60026,1]</t>
    <phoneticPr fontId="5" type="noConversion"/>
  </si>
  <si>
    <t>竞技场货币</t>
    <phoneticPr fontId="5" type="noConversion"/>
  </si>
  <si>
    <t>[60050,1]</t>
    <phoneticPr fontId="5" type="noConversion"/>
  </si>
  <si>
    <t>星宿精华</t>
    <phoneticPr fontId="5" type="noConversion"/>
  </si>
  <si>
    <t>血战货币</t>
    <phoneticPr fontId="5" type="noConversion"/>
  </si>
  <si>
    <t>[60025,1]</t>
    <phoneticPr fontId="5" type="noConversion"/>
  </si>
  <si>
    <t>昆仑币</t>
    <phoneticPr fontId="5" type="noConversion"/>
  </si>
  <si>
    <t>[60051,1]</t>
    <phoneticPr fontId="5" type="noConversion"/>
  </si>
  <si>
    <t>帮贡</t>
    <phoneticPr fontId="5" type="noConversion"/>
  </si>
  <si>
    <t>帮派贡献度</t>
    <phoneticPr fontId="5" type="noConversion"/>
  </si>
  <si>
    <t>[60021,1]</t>
    <phoneticPr fontId="5" type="noConversion"/>
  </si>
  <si>
    <t>法宝精华</t>
    <phoneticPr fontId="5" type="noConversion"/>
  </si>
  <si>
    <t>人参果</t>
    <phoneticPr fontId="5" type="noConversion"/>
  </si>
  <si>
    <t>神将装备觉醒消耗的物品</t>
    <phoneticPr fontId="5" type="noConversion"/>
  </si>
  <si>
    <t>竞技场挑战令</t>
    <phoneticPr fontId="5" type="noConversion"/>
  </si>
  <si>
    <t>神将经验</t>
    <phoneticPr fontId="5" type="noConversion"/>
  </si>
  <si>
    <r>
      <t>[60006,</t>
    </r>
    <r>
      <rPr>
        <sz val="11"/>
        <color theme="1"/>
        <rFont val="宋体"/>
        <family val="3"/>
        <charset val="134"/>
        <scheme val="minor"/>
      </rPr>
      <t>1</t>
    </r>
    <r>
      <rPr>
        <sz val="11"/>
        <color theme="1"/>
        <rFont val="宋体"/>
        <family val="3"/>
        <charset val="134"/>
        <scheme val="minor"/>
      </rPr>
      <t>]</t>
    </r>
    <phoneticPr fontId="5" type="noConversion"/>
  </si>
  <si>
    <t>主角经验</t>
    <phoneticPr fontId="5" type="noConversion"/>
  </si>
  <si>
    <t>[60052,1]</t>
    <phoneticPr fontId="5" type="noConversion"/>
  </si>
  <si>
    <t>法宝修炼道具</t>
    <phoneticPr fontId="5" type="noConversion"/>
  </si>
  <si>
    <t>法宝升级经验</t>
    <phoneticPr fontId="5" type="noConversion"/>
  </si>
  <si>
    <t>[60053,1]</t>
    <phoneticPr fontId="5" type="noConversion"/>
  </si>
  <si>
    <t>法宝碎片1</t>
    <phoneticPr fontId="5" type="noConversion"/>
  </si>
  <si>
    <t>法宝碎片2</t>
    <phoneticPr fontId="5" type="noConversion"/>
  </si>
  <si>
    <t>法宝碎片3</t>
  </si>
  <si>
    <t>法宝碎片4</t>
  </si>
  <si>
    <t>法宝碎片5</t>
  </si>
  <si>
    <t>法宝碎片6</t>
  </si>
  <si>
    <t>法宝碎片7</t>
  </si>
  <si>
    <t>法宝碎片8</t>
  </si>
  <si>
    <t>法宝碎片9</t>
  </si>
  <si>
    <t>法宝碎片10</t>
  </si>
  <si>
    <t>法宝碎片11</t>
  </si>
  <si>
    <t>法宝碎片12</t>
  </si>
  <si>
    <t>法宝碎片13</t>
  </si>
  <si>
    <t>法宝碎片14</t>
  </si>
  <si>
    <t>法宝碎片15</t>
  </si>
  <si>
    <t>法宝碎片16</t>
  </si>
  <si>
    <t>法宝碎片17</t>
  </si>
  <si>
    <t>法宝碎片18</t>
  </si>
  <si>
    <t>法宝碎片19</t>
  </si>
  <si>
    <t>法宝碎片20</t>
  </si>
  <si>
    <t>法宝碎片21</t>
  </si>
  <si>
    <t>法宝碎片22</t>
  </si>
  <si>
    <t>法宝碎片23</t>
  </si>
  <si>
    <t>法宝碎片24</t>
  </si>
  <si>
    <t>法宝碎片25</t>
  </si>
  <si>
    <t>法宝碎片26</t>
  </si>
  <si>
    <t>法宝碎片27</t>
  </si>
  <si>
    <t>法宝碎片28</t>
  </si>
  <si>
    <t>法宝碎片29</t>
  </si>
  <si>
    <t>法宝碎片30</t>
  </si>
  <si>
    <t>法宝碎片31</t>
  </si>
  <si>
    <t>法宝碎片32</t>
  </si>
  <si>
    <t>法宝碎片33</t>
  </si>
  <si>
    <t>法宝碎片34</t>
  </si>
  <si>
    <t>法宝碎片35</t>
  </si>
  <si>
    <t>法宝碎片36</t>
  </si>
  <si>
    <t>法宝碎片37</t>
  </si>
  <si>
    <t>法宝碎片38</t>
  </si>
  <si>
    <t>法宝碎片39</t>
  </si>
  <si>
    <t>法宝碎片40</t>
  </si>
  <si>
    <t>法宝碎片41</t>
  </si>
  <si>
    <t>法宝碎片42</t>
  </si>
  <si>
    <t>法宝碎片43</t>
  </si>
  <si>
    <t>法宝碎片44</t>
  </si>
  <si>
    <t>法宝碎片45</t>
  </si>
  <si>
    <t>法宝碎片46</t>
  </si>
  <si>
    <t>法宝碎片47</t>
  </si>
  <si>
    <t>法宝碎片48</t>
  </si>
  <si>
    <t>法宝碎片49</t>
  </si>
  <si>
    <t>法宝碎片50</t>
  </si>
  <si>
    <t>法宝碎片51</t>
  </si>
  <si>
    <t>法宝碎片52</t>
  </si>
  <si>
    <t>法宝碎片53</t>
  </si>
  <si>
    <t>法宝碎片54</t>
  </si>
  <si>
    <t>法宝碎片55</t>
  </si>
  <si>
    <t>法宝碎片56</t>
  </si>
  <si>
    <t>法宝碎片57</t>
  </si>
  <si>
    <t>法宝碎片58</t>
  </si>
  <si>
    <t>法宝碎片59</t>
  </si>
  <si>
    <t>法宝碎片60</t>
  </si>
  <si>
    <t>法宝碎片61</t>
  </si>
  <si>
    <t>法宝碎片62</t>
  </si>
  <si>
    <t>法宝碎片63</t>
  </si>
  <si>
    <t>法宝碎片64</t>
  </si>
  <si>
    <t>法宝碎片65</t>
  </si>
  <si>
    <t>法宝碎片66</t>
  </si>
  <si>
    <t>法宝碎片67</t>
  </si>
  <si>
    <t>法宝碎片68</t>
  </si>
  <si>
    <t>法宝碎片69</t>
  </si>
  <si>
    <t>法宝碎片70</t>
  </si>
  <si>
    <t>法宝碎片71</t>
  </si>
  <si>
    <t>法宝碎片72</t>
  </si>
  <si>
    <t>法宝碎片73</t>
  </si>
  <si>
    <t>法宝碎片74</t>
  </si>
  <si>
    <t>法宝碎片75</t>
  </si>
  <si>
    <t>法宝碎片76</t>
  </si>
  <si>
    <t>法宝碎片77</t>
  </si>
  <si>
    <t>法宝碎片78</t>
  </si>
  <si>
    <t>法宝碎片79</t>
  </si>
  <si>
    <t>法宝碎片80</t>
  </si>
  <si>
    <t>法宝碎片81</t>
  </si>
  <si>
    <t>法宝碎片82</t>
  </si>
  <si>
    <t>法宝碎片83</t>
  </si>
  <si>
    <t>法宝碎片84</t>
  </si>
  <si>
    <t>法宝碎片85</t>
  </si>
  <si>
    <t>法宝碎片86</t>
  </si>
  <si>
    <t>法宝碎片87</t>
  </si>
  <si>
    <t>法宝碎片88</t>
  </si>
  <si>
    <t>法宝碎片89</t>
  </si>
  <si>
    <t>法宝碎片90</t>
  </si>
  <si>
    <t>法宝碎片91</t>
  </si>
  <si>
    <t>法宝碎片92</t>
  </si>
  <si>
    <t>法宝碎片93</t>
  </si>
  <si>
    <t>法宝碎片94</t>
  </si>
  <si>
    <t>法宝碎片95</t>
  </si>
  <si>
    <t>法宝碎片96</t>
  </si>
  <si>
    <t>法宝碎片97</t>
  </si>
  <si>
    <t>法宝碎片98</t>
  </si>
  <si>
    <t>法宝碎片99</t>
  </si>
  <si>
    <t>法宝碎片100</t>
  </si>
  <si>
    <t>法宝碎片101</t>
  </si>
  <si>
    <t>法宝碎片102</t>
  </si>
  <si>
    <t>法宝碎片103</t>
  </si>
  <si>
    <t>法宝碎片104</t>
  </si>
  <si>
    <t>法宝碎片105</t>
  </si>
  <si>
    <t>法宝碎片106</t>
  </si>
  <si>
    <t>法宝碎片107</t>
  </si>
  <si>
    <t>法宝碎片108</t>
  </si>
  <si>
    <t>法宝碎片109</t>
  </si>
  <si>
    <t>法宝碎片110</t>
  </si>
  <si>
    <t>法宝碎片111</t>
  </si>
  <si>
    <t>法宝碎片112</t>
  </si>
  <si>
    <t>法宝碎片113</t>
  </si>
  <si>
    <t>法宝碎片114</t>
  </si>
  <si>
    <t>法宝碎片115</t>
  </si>
  <si>
    <t>法宝碎片116</t>
  </si>
  <si>
    <t>法宝碎片117</t>
  </si>
  <si>
    <t>法宝碎片118</t>
  </si>
  <si>
    <t>法宝碎片119</t>
  </si>
  <si>
    <t>法宝碎片120</t>
  </si>
  <si>
    <t>法宝碎片121</t>
  </si>
  <si>
    <t>法宝碎片122</t>
  </si>
  <si>
    <t>法宝碎片123</t>
  </si>
  <si>
    <t>法宝碎片124</t>
  </si>
  <si>
    <t>法宝碎片125</t>
  </si>
  <si>
    <t>法宝碎片126</t>
  </si>
  <si>
    <t>法宝碎片127</t>
  </si>
  <si>
    <t>法宝碎片128</t>
  </si>
  <si>
    <t>法宝碎片129</t>
  </si>
  <si>
    <t>法宝碎片130</t>
  </si>
  <si>
    <t>法宝碎片131</t>
  </si>
  <si>
    <t>法宝碎片132</t>
  </si>
  <si>
    <t>法宝碎片133</t>
  </si>
  <si>
    <t>法宝碎片134</t>
  </si>
  <si>
    <t>法宝碎片135</t>
  </si>
  <si>
    <t>法宝碎片136</t>
  </si>
  <si>
    <t>法宝碎片137</t>
  </si>
  <si>
    <t>法宝碎片138</t>
  </si>
  <si>
    <t>法宝碎片139</t>
  </si>
  <si>
    <t>法宝碎片140</t>
  </si>
  <si>
    <t>法宝碎片141</t>
  </si>
  <si>
    <t>法宝碎片142</t>
  </si>
  <si>
    <t>法宝碎片143</t>
  </si>
  <si>
    <t>法宝碎片144</t>
  </si>
  <si>
    <t>法宝碎片145</t>
  </si>
  <si>
    <t>法宝碎片146</t>
  </si>
  <si>
    <t>法宝碎片147</t>
  </si>
  <si>
    <t>法宝碎片148</t>
  </si>
  <si>
    <t>法宝碎片149</t>
  </si>
  <si>
    <t>法宝碎片150</t>
  </si>
  <si>
    <t>法宝碎片151</t>
  </si>
  <si>
    <t>法宝碎片152</t>
  </si>
  <si>
    <t>法宝碎片153</t>
  </si>
  <si>
    <t>法宝碎片154</t>
  </si>
  <si>
    <t>法宝碎片155</t>
  </si>
  <si>
    <t>法宝碎片156</t>
  </si>
  <si>
    <t>法宝碎片157</t>
  </si>
  <si>
    <t>法宝碎片158</t>
  </si>
  <si>
    <t>法宝碎片159</t>
  </si>
  <si>
    <t>法宝碎片160</t>
  </si>
  <si>
    <t>法宝碎片161</t>
  </si>
  <si>
    <t>法宝碎片162</t>
  </si>
  <si>
    <t>法宝碎片163</t>
  </si>
  <si>
    <t>法宝碎片164</t>
  </si>
  <si>
    <t>法宝碎片165</t>
  </si>
  <si>
    <t>法宝碎片166</t>
  </si>
  <si>
    <t>法宝碎片167</t>
  </si>
  <si>
    <t>法宝碎片168</t>
  </si>
  <si>
    <t>法宝碎片169</t>
  </si>
  <si>
    <t>法宝碎片170</t>
  </si>
  <si>
    <t>法宝碎片171</t>
  </si>
  <si>
    <t>法宝碎片172</t>
  </si>
  <si>
    <t>法宝碎片173</t>
  </si>
  <si>
    <t>法宝碎片174</t>
  </si>
  <si>
    <t>法宝碎片175</t>
  </si>
  <si>
    <t>法宝碎片176</t>
  </si>
  <si>
    <t>法宝碎片177</t>
  </si>
  <si>
    <t>法宝碎片178</t>
  </si>
  <si>
    <t>法宝碎片179</t>
  </si>
  <si>
    <t>法宝碎片180</t>
  </si>
  <si>
    <t>法宝碎片181</t>
  </si>
  <si>
    <t>法宝碎片182</t>
  </si>
  <si>
    <t>法宝碎片183</t>
  </si>
  <si>
    <t>法宝碎片184</t>
  </si>
  <si>
    <t>法宝碎片185</t>
  </si>
  <si>
    <t>法宝碎片186</t>
  </si>
  <si>
    <t>法宝碎片187</t>
  </si>
  <si>
    <t>法宝碎片188</t>
  </si>
  <si>
    <t>法宝碎片189</t>
  </si>
  <si>
    <t>法宝碎片190</t>
  </si>
  <si>
    <t>法宝碎片191</t>
  </si>
  <si>
    <t>法宝碎片192</t>
  </si>
  <si>
    <t>法宝碎片193</t>
  </si>
  <si>
    <t>法宝碎片194</t>
  </si>
  <si>
    <t>法宝碎片195</t>
  </si>
  <si>
    <t>法宝碎片196</t>
  </si>
  <si>
    <t>法宝碎片197</t>
  </si>
  <si>
    <t>法宝碎片198</t>
  </si>
  <si>
    <t>法宝碎片199</t>
  </si>
  <si>
    <t>法宝碎片200</t>
  </si>
  <si>
    <t>法宝碎片201</t>
  </si>
  <si>
    <t>法宝碎片202</t>
  </si>
  <si>
    <t>法宝碎片203</t>
  </si>
  <si>
    <t>法宝碎片204</t>
  </si>
  <si>
    <t>法宝碎片205</t>
  </si>
  <si>
    <t>法宝碎片206</t>
  </si>
  <si>
    <t>法宝碎片207</t>
  </si>
  <si>
    <t>法宝碎片208</t>
  </si>
  <si>
    <t>法宝碎片209</t>
  </si>
  <si>
    <t>法宝碎片210</t>
  </si>
  <si>
    <t>法宝碎片211</t>
  </si>
  <si>
    <t>法宝碎片212</t>
  </si>
  <si>
    <t>法宝碎片213</t>
  </si>
  <si>
    <t>法宝碎片214</t>
  </si>
  <si>
    <t>法宝碎片215</t>
  </si>
  <si>
    <t>法宝碎片216</t>
  </si>
  <si>
    <t>法宝碎片217</t>
  </si>
  <si>
    <t>法宝碎片218</t>
  </si>
  <si>
    <t>法宝碎片219</t>
  </si>
  <si>
    <t>法宝碎片220</t>
  </si>
  <si>
    <t>法宝碎片221</t>
  </si>
  <si>
    <t>法宝碎片222</t>
  </si>
  <si>
    <t>法宝碎片223</t>
  </si>
  <si>
    <t>法宝碎片224</t>
  </si>
  <si>
    <t>法宝碎片225</t>
  </si>
  <si>
    <t>法宝碎片226</t>
  </si>
  <si>
    <t>法宝碎片227</t>
  </si>
  <si>
    <t>法宝碎片228</t>
  </si>
  <si>
    <t>法宝碎片229</t>
  </si>
  <si>
    <t>法宝碎片230</t>
  </si>
  <si>
    <t>法宝碎片231</t>
  </si>
  <si>
    <t>法宝碎片232</t>
  </si>
  <si>
    <t>法宝碎片233</t>
  </si>
  <si>
    <t>法宝碎片234</t>
  </si>
  <si>
    <t>法宝碎片235</t>
  </si>
  <si>
    <t>法宝碎片236</t>
  </si>
  <si>
    <t>法宝碎片237</t>
  </si>
  <si>
    <t>法宝碎片238</t>
  </si>
  <si>
    <t>法宝碎片239</t>
  </si>
  <si>
    <t>法宝碎片240</t>
  </si>
  <si>
    <t>法宝碎片241</t>
  </si>
  <si>
    <t>法宝碎片242</t>
  </si>
  <si>
    <t>法宝碎片243</t>
  </si>
  <si>
    <t>法宝碎片244</t>
  </si>
  <si>
    <t>法宝碎片245</t>
  </si>
  <si>
    <t>法宝碎片246</t>
  </si>
  <si>
    <t>法宝碎片247</t>
  </si>
  <si>
    <t>法宝碎片248</t>
  </si>
  <si>
    <t>法宝碎片249</t>
  </si>
  <si>
    <t>法宝碎片250</t>
  </si>
  <si>
    <t>法宝碎片251</t>
  </si>
  <si>
    <t>法宝碎片252</t>
  </si>
  <si>
    <t>[60027,5]</t>
    <phoneticPr fontId="5" type="noConversion"/>
  </si>
  <si>
    <t>use_jump</t>
    <phoneticPr fontId="5" type="noConversion"/>
  </si>
  <si>
    <t>all</t>
    <phoneticPr fontId="5" type="noConversion"/>
  </si>
  <si>
    <t>跳转</t>
    <phoneticPr fontId="5" type="noConversion"/>
  </si>
  <si>
    <r>
      <t>i</t>
    </r>
    <r>
      <rPr>
        <sz val="11"/>
        <rFont val="宋体"/>
        <family val="3"/>
        <charset val="134"/>
        <scheme val="minor"/>
      </rPr>
      <t>nt</t>
    </r>
    <phoneticPr fontId="5" type="noConversion"/>
  </si>
  <si>
    <t>低级法宝经验书碎片1</t>
    <phoneticPr fontId="5" type="noConversion"/>
  </si>
  <si>
    <t>低级法宝经验书碎片2</t>
  </si>
  <si>
    <t>低级法宝经验书碎片3</t>
  </si>
  <si>
    <t>中级法宝经验书碎片1</t>
    <phoneticPr fontId="5" type="noConversion"/>
  </si>
  <si>
    <t>中级法宝经验书碎片2</t>
  </si>
  <si>
    <t>中级法宝经验书碎片3</t>
  </si>
  <si>
    <t>中级法宝经验书碎片4</t>
  </si>
  <si>
    <t>高级法宝经验书碎片1</t>
    <phoneticPr fontId="5" type="noConversion"/>
  </si>
  <si>
    <t>高级法宝经验书碎片2</t>
  </si>
  <si>
    <t>高级法宝经验书碎片3</t>
  </si>
  <si>
    <t>高级法宝经验书碎片4</t>
  </si>
  <si>
    <t>高级法宝经验书碎片5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</si>
</sst>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宋体"/>
      <charset val="134"/>
      <scheme val="minor"/>
    </font>
    <font>
      <sz val="11"/>
      <name val="宋体"/>
      <family val="3"/>
      <charset val="134"/>
      <scheme val="minor"/>
    </font>
    <font>
      <sz val="9"/>
      <name val="微软雅黑"/>
      <family val="2"/>
      <charset val="134"/>
    </font>
    <font>
      <sz val="9"/>
      <color theme="1"/>
      <name val="微软雅黑"/>
      <family val="2"/>
      <charset val="134"/>
    </font>
    <font>
      <sz val="11"/>
      <name val="宋体"/>
      <family val="3"/>
      <charset val="134"/>
      <scheme val="minor"/>
    </font>
    <font>
      <sz val="9"/>
      <name val="宋体"/>
      <family val="3"/>
      <charset val="134"/>
      <scheme val="minor"/>
    </font>
    <font>
      <sz val="9"/>
      <name val="宋体"/>
      <family val="3"/>
      <charset val="134"/>
    </font>
    <font>
      <b/>
      <sz val="9"/>
      <name val="宋体"/>
      <family val="3"/>
      <charset val="134"/>
    </font>
    <font>
      <sz val="11"/>
      <color theme="1"/>
      <name val="宋体"/>
      <family val="3"/>
      <charset val="134"/>
      <scheme val="minor"/>
    </font>
    <font>
      <sz val="9"/>
      <color rgb="FFFF0000"/>
      <name val="微软雅黑"/>
      <family val="2"/>
      <charset val="134"/>
    </font>
    <font>
      <sz val="11"/>
      <color rgb="FFFF0000"/>
      <name val="宋体"/>
      <family val="3"/>
      <charset val="134"/>
      <scheme val="minor"/>
    </font>
    <font>
      <sz val="10"/>
      <color theme="1"/>
      <name val="微软雅黑"/>
      <family val="2"/>
      <charset val="134"/>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0" borderId="0" xfId="0" applyFont="1" applyBorder="1" applyAlignment="1">
      <alignment vertical="center"/>
    </xf>
    <xf numFmtId="0" fontId="2" fillId="0" borderId="0" xfId="0" applyFont="1" applyBorder="1" applyAlignment="1">
      <alignment horizontal="center" vertical="center"/>
    </xf>
    <xf numFmtId="49" fontId="2" fillId="0" borderId="0" xfId="0" applyNumberFormat="1" applyFont="1" applyBorder="1" applyAlignment="1">
      <alignment vertical="center"/>
    </xf>
    <xf numFmtId="0" fontId="2" fillId="0" borderId="0" xfId="0" applyFont="1" applyBorder="1" applyAlignment="1">
      <alignment vertical="center"/>
    </xf>
    <xf numFmtId="49" fontId="2" fillId="0" borderId="0" xfId="0" applyNumberFormat="1" applyFont="1" applyBorder="1" applyAlignment="1">
      <alignment horizontal="center" vertical="center"/>
    </xf>
    <xf numFmtId="0" fontId="3" fillId="0" borderId="0" xfId="0" applyFont="1" applyBorder="1" applyAlignment="1">
      <alignment horizontal="center" vertical="center"/>
    </xf>
    <xf numFmtId="0" fontId="1" fillId="0" borderId="0" xfId="0" applyFont="1" applyFill="1" applyBorder="1" applyAlignment="1">
      <alignment vertical="center"/>
    </xf>
    <xf numFmtId="0" fontId="1" fillId="0" borderId="0" xfId="0" applyFont="1" applyBorder="1" applyAlignment="1">
      <alignment horizontal="center" vertical="center"/>
    </xf>
    <xf numFmtId="49" fontId="4" fillId="0" borderId="0" xfId="0" applyNumberFormat="1" applyFont="1" applyBorder="1" applyAlignment="1">
      <alignment vertical="center"/>
    </xf>
    <xf numFmtId="0" fontId="0" fillId="2" borderId="0" xfId="0" applyFill="1" applyAlignment="1"/>
    <xf numFmtId="49" fontId="0" fillId="2" borderId="0" xfId="0" applyNumberFormat="1" applyFill="1" applyAlignment="1"/>
    <xf numFmtId="0" fontId="4" fillId="2" borderId="0" xfId="0" applyFont="1" applyFill="1" applyBorder="1" applyAlignment="1">
      <alignment vertical="center"/>
    </xf>
    <xf numFmtId="0" fontId="2" fillId="2" borderId="0" xfId="0" applyFont="1" applyFill="1" applyBorder="1" applyAlignment="1">
      <alignment vertical="center"/>
    </xf>
    <xf numFmtId="49" fontId="2" fillId="2" borderId="0" xfId="0" applyNumberFormat="1" applyFont="1" applyFill="1" applyBorder="1" applyAlignment="1">
      <alignment vertical="center"/>
    </xf>
    <xf numFmtId="0" fontId="2" fillId="2" borderId="0" xfId="0" applyFont="1" applyFill="1" applyBorder="1" applyAlignment="1">
      <alignment horizontal="center" vertical="center"/>
    </xf>
    <xf numFmtId="49" fontId="2" fillId="2" borderId="0" xfId="0" applyNumberFormat="1" applyFont="1" applyFill="1" applyBorder="1" applyAlignment="1">
      <alignment horizontal="center" vertical="center"/>
    </xf>
    <xf numFmtId="0" fontId="2" fillId="0" borderId="0" xfId="0" applyFont="1" applyFill="1" applyBorder="1" applyAlignment="1">
      <alignment horizontal="center" vertical="center"/>
    </xf>
    <xf numFmtId="49" fontId="2" fillId="0" borderId="0" xfId="0" applyNumberFormat="1" applyFont="1" applyFill="1" applyBorder="1" applyAlignment="1">
      <alignment vertical="center"/>
    </xf>
    <xf numFmtId="0" fontId="2" fillId="0" borderId="0" xfId="0" applyFont="1" applyFill="1" applyBorder="1" applyAlignment="1">
      <alignment vertical="center"/>
    </xf>
    <xf numFmtId="0" fontId="3" fillId="0" borderId="0" xfId="0" applyFont="1" applyBorder="1" applyAlignment="1">
      <alignment horizontal="center"/>
    </xf>
    <xf numFmtId="0" fontId="1" fillId="2" borderId="0" xfId="0" applyFont="1" applyFill="1" applyBorder="1" applyAlignment="1">
      <alignment vertical="center"/>
    </xf>
    <xf numFmtId="0" fontId="5" fillId="2" borderId="0" xfId="0" applyFont="1" applyFill="1" applyBorder="1" applyAlignment="1">
      <alignment vertical="center"/>
    </xf>
    <xf numFmtId="0" fontId="5" fillId="2" borderId="0" xfId="0" applyFont="1" applyFill="1" applyBorder="1" applyAlignment="1">
      <alignment horizontal="center" vertical="center"/>
    </xf>
    <xf numFmtId="0" fontId="2" fillId="3" borderId="0" xfId="0" applyFont="1" applyFill="1" applyBorder="1" applyAlignment="1">
      <alignment horizontal="center" vertical="center"/>
    </xf>
    <xf numFmtId="0" fontId="3" fillId="0" borderId="0" xfId="0" applyFont="1" applyBorder="1" applyAlignment="1"/>
    <xf numFmtId="0" fontId="2" fillId="0" borderId="0" xfId="0" applyFont="1" applyBorder="1" applyAlignment="1">
      <alignment vertical="center" wrapText="1"/>
    </xf>
    <xf numFmtId="49" fontId="8" fillId="2" borderId="0" xfId="0" applyNumberFormat="1" applyFont="1" applyFill="1" applyAlignment="1"/>
    <xf numFmtId="0" fontId="9" fillId="0" borderId="0" xfId="0" applyFont="1" applyBorder="1" applyAlignment="1">
      <alignment vertical="center"/>
    </xf>
    <xf numFmtId="49" fontId="1" fillId="0" borderId="0" xfId="0" applyNumberFormat="1" applyFont="1" applyBorder="1" applyAlignment="1">
      <alignment vertical="center"/>
    </xf>
    <xf numFmtId="0" fontId="10" fillId="0" borderId="0" xfId="0" applyFont="1" applyBorder="1" applyAlignment="1">
      <alignment vertical="center"/>
    </xf>
    <xf numFmtId="0" fontId="11" fillId="0" borderId="1" xfId="0" applyFont="1" applyBorder="1" applyAlignment="1">
      <alignment horizontal="center"/>
    </xf>
    <xf numFmtId="0" fontId="0" fillId="0" borderId="1" xfId="0" applyBorder="1" applyAlignment="1">
      <alignment horizontal="center" vertical="center"/>
    </xf>
  </cellXfs>
  <cellStyles count="1">
    <cellStyle name="常规" xfId="0" builtinId="0"/>
  </cellStyles>
  <dxfs count="14">
    <dxf>
      <font>
        <color rgb="FF9C6500"/>
      </font>
      <fill>
        <patternFill>
          <bgColor rgb="FF00B0F0"/>
        </patternFill>
      </fill>
    </dxf>
    <dxf>
      <fill>
        <patternFill>
          <bgColor rgb="FFCC00FF"/>
        </patternFill>
      </fill>
    </dxf>
    <dxf>
      <fill>
        <patternFill>
          <bgColor rgb="FFFFC000"/>
        </patternFill>
      </fill>
    </dxf>
    <dxf>
      <fill>
        <patternFill>
          <bgColor rgb="FFFF0000"/>
        </patternFill>
      </fill>
    </dxf>
    <dxf>
      <font>
        <color theme="1"/>
      </font>
      <fill>
        <patternFill>
          <bgColor rgb="FFFFFF00"/>
        </patternFill>
      </fill>
    </dxf>
    <dxf>
      <font>
        <color rgb="FF9C6500"/>
      </font>
      <fill>
        <patternFill>
          <bgColor rgb="FF00B0F0"/>
        </patternFill>
      </fill>
    </dxf>
    <dxf>
      <fill>
        <patternFill>
          <bgColor rgb="FFCC00FF"/>
        </patternFill>
      </fill>
    </dxf>
    <dxf>
      <font>
        <color rgb="FF9C6500"/>
      </font>
      <fill>
        <patternFill>
          <bgColor rgb="FF00B0F0"/>
        </patternFill>
      </fill>
    </dxf>
    <dxf>
      <fill>
        <patternFill>
          <bgColor rgb="FFCC00FF"/>
        </patternFill>
      </fill>
    </dxf>
    <dxf>
      <fill>
        <patternFill>
          <bgColor rgb="FFFFC000"/>
        </patternFill>
      </fill>
    </dxf>
    <dxf>
      <fill>
        <patternFill>
          <bgColor rgb="FFFF0000"/>
        </patternFill>
      </fill>
    </dxf>
    <dxf>
      <font>
        <color theme="1"/>
      </font>
      <fill>
        <patternFill>
          <bgColor rgb="FFFFFF00"/>
        </patternFill>
      </fill>
    </dxf>
    <dxf>
      <font>
        <color rgb="FF9C6500"/>
      </font>
      <fill>
        <patternFill>
          <bgColor rgb="FF00B0F0"/>
        </patternFill>
      </fill>
    </dxf>
    <dxf>
      <fill>
        <patternFill>
          <bgColor rgb="FFCC00FF"/>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1397"/>
  <sheetViews>
    <sheetView tabSelected="1" zoomScaleNormal="100" workbookViewId="0">
      <pane xSplit="2" ySplit="3" topLeftCell="C419" activePane="bottomRight" state="frozen"/>
      <selection pane="topRight" activeCell="C1" sqref="C1"/>
      <selection pane="bottomLeft" activeCell="A4" sqref="A4"/>
      <selection pane="bottomRight" activeCell="I446" sqref="I446"/>
    </sheetView>
  </sheetViews>
  <sheetFormatPr defaultColWidth="9" defaultRowHeight="13.5" x14ac:dyDescent="0.15"/>
  <cols>
    <col min="1" max="1" width="16.75" style="8" customWidth="1"/>
    <col min="2" max="2" width="14.625" style="9" customWidth="1"/>
    <col min="3" max="3" width="72.25" style="1" bestFit="1" customWidth="1"/>
    <col min="4" max="4" width="6.5" style="1" customWidth="1"/>
    <col min="5" max="5" width="6.875" style="1" customWidth="1"/>
    <col min="6" max="6" width="7.5" style="1" customWidth="1"/>
    <col min="7" max="7" width="9" style="10"/>
    <col min="8" max="8" width="28.25" style="11" customWidth="1"/>
    <col min="9" max="9" width="9" style="10"/>
    <col min="10" max="10" width="12.75" style="11" customWidth="1"/>
    <col min="11" max="11" width="9" style="10"/>
    <col min="12" max="12" width="11.25" style="1" customWidth="1"/>
    <col min="13" max="13" width="9" style="1" customWidth="1"/>
    <col min="14" max="14" width="17.75" style="1" customWidth="1"/>
    <col min="15" max="15" width="23.625" style="1" bestFit="1" customWidth="1"/>
    <col min="16" max="17" width="7" style="12" customWidth="1"/>
    <col min="18" max="16384" width="9" style="1"/>
  </cols>
  <sheetData>
    <row r="1" spans="1:17" ht="14.25" x14ac:dyDescent="0.15">
      <c r="A1" s="2" t="s">
        <v>0</v>
      </c>
      <c r="B1" s="3" t="s">
        <v>1</v>
      </c>
      <c r="C1" s="4" t="s">
        <v>2</v>
      </c>
      <c r="D1" s="4" t="s">
        <v>388</v>
      </c>
      <c r="E1" s="4" t="s">
        <v>4</v>
      </c>
      <c r="F1" s="4" t="s">
        <v>5</v>
      </c>
      <c r="G1" s="13" t="s">
        <v>6</v>
      </c>
      <c r="H1" s="14" t="s">
        <v>7</v>
      </c>
      <c r="I1" s="13" t="s">
        <v>8</v>
      </c>
      <c r="J1" s="14" t="s">
        <v>9</v>
      </c>
      <c r="K1" s="21" t="s">
        <v>10</v>
      </c>
      <c r="L1" s="4" t="s">
        <v>11</v>
      </c>
      <c r="M1" s="4" t="s">
        <v>12</v>
      </c>
      <c r="N1" s="4" t="s">
        <v>13</v>
      </c>
      <c r="O1" s="4" t="s">
        <v>14</v>
      </c>
      <c r="P1" s="22" t="s">
        <v>15</v>
      </c>
      <c r="Q1" s="22" t="s">
        <v>696</v>
      </c>
    </row>
    <row r="2" spans="1:17" ht="14.25" x14ac:dyDescent="0.15">
      <c r="A2" s="2" t="s">
        <v>16</v>
      </c>
      <c r="B2" s="2" t="s">
        <v>16</v>
      </c>
      <c r="C2" s="2" t="s">
        <v>16</v>
      </c>
      <c r="D2" s="2" t="s">
        <v>16</v>
      </c>
      <c r="E2" s="2" t="s">
        <v>16</v>
      </c>
      <c r="F2" s="2" t="s">
        <v>16</v>
      </c>
      <c r="G2" s="15" t="s">
        <v>16</v>
      </c>
      <c r="H2" s="16" t="s">
        <v>16</v>
      </c>
      <c r="I2" s="15" t="s">
        <v>16</v>
      </c>
      <c r="J2" s="16" t="s">
        <v>16</v>
      </c>
      <c r="K2" s="15" t="s">
        <v>16</v>
      </c>
      <c r="L2" s="2" t="s">
        <v>16</v>
      </c>
      <c r="M2" s="2" t="s">
        <v>16</v>
      </c>
      <c r="N2" s="2" t="s">
        <v>16</v>
      </c>
      <c r="O2" s="2" t="s">
        <v>16</v>
      </c>
      <c r="P2" s="23" t="s">
        <v>16</v>
      </c>
      <c r="Q2" s="23" t="s">
        <v>697</v>
      </c>
    </row>
    <row r="3" spans="1:17" ht="14.25" x14ac:dyDescent="0.15">
      <c r="A3" s="2" t="s">
        <v>0</v>
      </c>
      <c r="B3" s="3" t="s">
        <v>17</v>
      </c>
      <c r="C3" s="4" t="s">
        <v>18</v>
      </c>
      <c r="D3" s="4" t="s">
        <v>19</v>
      </c>
      <c r="E3" s="4" t="s">
        <v>20</v>
      </c>
      <c r="F3" s="4" t="s">
        <v>21</v>
      </c>
      <c r="G3" s="13" t="s">
        <v>22</v>
      </c>
      <c r="H3" s="14" t="s">
        <v>23</v>
      </c>
      <c r="I3" s="13" t="s">
        <v>24</v>
      </c>
      <c r="J3" s="14" t="s">
        <v>25</v>
      </c>
      <c r="K3" s="21" t="s">
        <v>26</v>
      </c>
      <c r="L3" s="4" t="s">
        <v>27</v>
      </c>
      <c r="M3" s="4" t="s">
        <v>28</v>
      </c>
      <c r="N3" s="4" t="s">
        <v>29</v>
      </c>
      <c r="O3" s="4" t="s">
        <v>30</v>
      </c>
      <c r="P3" s="22" t="s">
        <v>31</v>
      </c>
      <c r="Q3" s="22" t="s">
        <v>698</v>
      </c>
    </row>
    <row r="4" spans="1:17" ht="14.25" x14ac:dyDescent="0.15">
      <c r="A4" s="8" t="s">
        <v>32</v>
      </c>
      <c r="B4" s="9" t="s">
        <v>33</v>
      </c>
      <c r="C4" s="1" t="s">
        <v>33</v>
      </c>
      <c r="D4" s="1" t="s">
        <v>32</v>
      </c>
      <c r="E4" s="1" t="s">
        <v>32</v>
      </c>
      <c r="F4" s="1" t="s">
        <v>32</v>
      </c>
      <c r="G4" s="13" t="s">
        <v>32</v>
      </c>
      <c r="H4" s="14" t="s">
        <v>34</v>
      </c>
      <c r="I4" s="13" t="s">
        <v>32</v>
      </c>
      <c r="J4" s="14" t="s">
        <v>35</v>
      </c>
      <c r="K4" s="21" t="s">
        <v>32</v>
      </c>
      <c r="L4" s="1" t="s">
        <v>32</v>
      </c>
      <c r="M4" s="1" t="s">
        <v>32</v>
      </c>
      <c r="N4" s="1" t="s">
        <v>33</v>
      </c>
      <c r="O4" s="1" t="s">
        <v>33</v>
      </c>
      <c r="P4" s="12" t="s">
        <v>32</v>
      </c>
      <c r="Q4" s="21" t="s">
        <v>699</v>
      </c>
    </row>
    <row r="5" spans="1:17" ht="14.25" x14ac:dyDescent="0.15">
      <c r="A5" s="8">
        <v>60000</v>
      </c>
      <c r="B5" s="9" t="s">
        <v>36</v>
      </c>
      <c r="C5" s="1" t="s">
        <v>414</v>
      </c>
      <c r="D5" s="1">
        <v>3006</v>
      </c>
      <c r="E5" s="1">
        <v>3</v>
      </c>
      <c r="F5" s="1">
        <v>13</v>
      </c>
      <c r="G5" s="13">
        <v>3</v>
      </c>
      <c r="H5" s="14" t="s">
        <v>37</v>
      </c>
      <c r="I5" s="13">
        <v>1</v>
      </c>
      <c r="J5" s="14"/>
      <c r="K5" s="21">
        <v>0</v>
      </c>
      <c r="L5" s="1">
        <v>1</v>
      </c>
      <c r="M5" s="1">
        <v>0</v>
      </c>
      <c r="P5" s="12">
        <v>0</v>
      </c>
    </row>
    <row r="6" spans="1:17" ht="14.25" x14ac:dyDescent="0.15">
      <c r="A6" s="8">
        <v>60001</v>
      </c>
      <c r="B6" s="9" t="s">
        <v>38</v>
      </c>
      <c r="C6" s="1" t="s">
        <v>413</v>
      </c>
      <c r="D6" s="1">
        <v>3012</v>
      </c>
      <c r="E6" s="1">
        <v>3</v>
      </c>
      <c r="F6" s="1">
        <v>13</v>
      </c>
      <c r="G6" s="13">
        <v>3</v>
      </c>
      <c r="H6" s="14" t="s">
        <v>39</v>
      </c>
      <c r="I6" s="13">
        <v>1</v>
      </c>
      <c r="J6" s="14"/>
      <c r="K6" s="21">
        <v>0</v>
      </c>
      <c r="L6" s="1">
        <v>1</v>
      </c>
      <c r="M6" s="1">
        <v>0</v>
      </c>
      <c r="P6" s="12">
        <v>0</v>
      </c>
    </row>
    <row r="7" spans="1:17" ht="14.25" x14ac:dyDescent="0.15">
      <c r="A7" s="8">
        <v>60006</v>
      </c>
      <c r="B7" s="29" t="s">
        <v>436</v>
      </c>
      <c r="C7" s="1" t="s">
        <v>436</v>
      </c>
      <c r="D7" s="1">
        <v>560</v>
      </c>
      <c r="E7" s="1">
        <v>3</v>
      </c>
      <c r="F7" s="1">
        <v>13</v>
      </c>
      <c r="G7" s="13">
        <v>3</v>
      </c>
      <c r="H7" s="14" t="s">
        <v>437</v>
      </c>
      <c r="I7" s="13">
        <v>1</v>
      </c>
      <c r="J7" s="14"/>
      <c r="K7" s="21">
        <v>0</v>
      </c>
      <c r="L7" s="1">
        <v>1</v>
      </c>
      <c r="M7" s="1">
        <v>0</v>
      </c>
      <c r="P7" s="12">
        <v>0</v>
      </c>
    </row>
    <row r="8" spans="1:17" ht="14.25" x14ac:dyDescent="0.15">
      <c r="A8" s="8">
        <v>60014</v>
      </c>
      <c r="B8" s="29" t="s">
        <v>411</v>
      </c>
      <c r="C8" s="1" t="s">
        <v>412</v>
      </c>
      <c r="D8" s="1">
        <v>3005</v>
      </c>
      <c r="E8" s="1">
        <v>4</v>
      </c>
      <c r="F8" s="1">
        <v>13</v>
      </c>
      <c r="G8" s="13">
        <v>3</v>
      </c>
      <c r="H8" s="14" t="s">
        <v>415</v>
      </c>
      <c r="I8" s="13">
        <v>1</v>
      </c>
      <c r="J8" s="14"/>
      <c r="K8" s="21">
        <v>0</v>
      </c>
      <c r="L8" s="1">
        <v>1</v>
      </c>
      <c r="M8" s="1">
        <v>0</v>
      </c>
      <c r="P8" s="12">
        <v>0</v>
      </c>
    </row>
    <row r="9" spans="1:17" ht="14.25" x14ac:dyDescent="0.15">
      <c r="A9" s="8">
        <v>60015</v>
      </c>
      <c r="B9" s="29" t="s">
        <v>416</v>
      </c>
      <c r="C9" s="1" t="s">
        <v>417</v>
      </c>
      <c r="D9" s="30">
        <v>3011</v>
      </c>
      <c r="E9" s="1">
        <v>5</v>
      </c>
      <c r="F9" s="1">
        <v>13</v>
      </c>
      <c r="G9" s="13">
        <v>3</v>
      </c>
      <c r="H9" s="14" t="s">
        <v>418</v>
      </c>
      <c r="I9" s="13">
        <v>1</v>
      </c>
      <c r="J9" s="14"/>
      <c r="K9" s="21">
        <v>0</v>
      </c>
      <c r="L9" s="1">
        <v>1</v>
      </c>
      <c r="M9" s="1">
        <v>0</v>
      </c>
      <c r="P9" s="12">
        <v>0</v>
      </c>
    </row>
    <row r="10" spans="1:17" ht="14.25" x14ac:dyDescent="0.15">
      <c r="A10" s="8">
        <v>60021</v>
      </c>
      <c r="B10" s="29" t="s">
        <v>429</v>
      </c>
      <c r="C10" s="1" t="s">
        <v>430</v>
      </c>
      <c r="D10" s="1">
        <v>3026</v>
      </c>
      <c r="E10" s="1">
        <v>4</v>
      </c>
      <c r="F10" s="1">
        <v>13</v>
      </c>
      <c r="G10" s="13">
        <v>3</v>
      </c>
      <c r="H10" s="14" t="s">
        <v>431</v>
      </c>
      <c r="I10" s="13">
        <v>1</v>
      </c>
      <c r="J10" s="14"/>
      <c r="K10" s="21">
        <v>0</v>
      </c>
      <c r="L10" s="1">
        <v>1</v>
      </c>
      <c r="M10" s="1">
        <v>0</v>
      </c>
      <c r="P10" s="12">
        <v>0</v>
      </c>
    </row>
    <row r="11" spans="1:17" ht="14.25" x14ac:dyDescent="0.15">
      <c r="A11" s="8">
        <v>60025</v>
      </c>
      <c r="B11" s="29" t="s">
        <v>424</v>
      </c>
      <c r="C11" s="1" t="s">
        <v>425</v>
      </c>
      <c r="D11" s="1">
        <v>3019</v>
      </c>
      <c r="E11" s="1">
        <v>4</v>
      </c>
      <c r="F11" s="1">
        <v>13</v>
      </c>
      <c r="G11" s="13">
        <v>3</v>
      </c>
      <c r="H11" s="14" t="s">
        <v>426</v>
      </c>
      <c r="I11" s="13">
        <v>1</v>
      </c>
      <c r="J11" s="14"/>
      <c r="K11" s="21">
        <v>0</v>
      </c>
      <c r="L11" s="1">
        <v>1</v>
      </c>
      <c r="M11" s="1">
        <v>0</v>
      </c>
      <c r="P11" s="12">
        <v>0</v>
      </c>
    </row>
    <row r="12" spans="1:17" ht="14.25" x14ac:dyDescent="0.15">
      <c r="A12" s="8">
        <v>60026</v>
      </c>
      <c r="B12" s="29" t="s">
        <v>419</v>
      </c>
      <c r="C12" s="1" t="s">
        <v>420</v>
      </c>
      <c r="D12" s="1">
        <v>3027</v>
      </c>
      <c r="E12" s="1">
        <v>3</v>
      </c>
      <c r="F12" s="1">
        <v>13</v>
      </c>
      <c r="G12" s="13">
        <v>3</v>
      </c>
      <c r="H12" s="14" t="s">
        <v>421</v>
      </c>
      <c r="I12" s="13">
        <v>1</v>
      </c>
      <c r="J12" s="14"/>
      <c r="K12" s="21">
        <v>0</v>
      </c>
      <c r="L12" s="1">
        <v>1</v>
      </c>
      <c r="M12" s="1">
        <v>0</v>
      </c>
      <c r="P12" s="12">
        <v>0</v>
      </c>
    </row>
    <row r="13" spans="1:17" ht="14.25" x14ac:dyDescent="0.15">
      <c r="A13" s="8">
        <v>60050</v>
      </c>
      <c r="B13" s="29" t="s">
        <v>422</v>
      </c>
      <c r="C13" s="29" t="s">
        <v>422</v>
      </c>
      <c r="D13" s="1">
        <v>3022</v>
      </c>
      <c r="E13" s="1">
        <v>3</v>
      </c>
      <c r="F13" s="1">
        <v>13</v>
      </c>
      <c r="G13" s="13">
        <v>3</v>
      </c>
      <c r="H13" s="14" t="s">
        <v>423</v>
      </c>
      <c r="I13" s="13">
        <v>1</v>
      </c>
      <c r="J13" s="14"/>
      <c r="K13" s="21">
        <v>0</v>
      </c>
      <c r="L13" s="1">
        <v>1</v>
      </c>
      <c r="M13" s="1">
        <v>0</v>
      </c>
      <c r="P13" s="12">
        <v>0</v>
      </c>
    </row>
    <row r="14" spans="1:17" ht="14.25" x14ac:dyDescent="0.15">
      <c r="A14" s="8">
        <v>60051</v>
      </c>
      <c r="B14" s="29" t="s">
        <v>427</v>
      </c>
      <c r="C14" s="29" t="s">
        <v>427</v>
      </c>
      <c r="D14" s="1">
        <v>3503</v>
      </c>
      <c r="E14" s="1">
        <v>4</v>
      </c>
      <c r="F14" s="1">
        <v>13</v>
      </c>
      <c r="G14" s="13">
        <v>3</v>
      </c>
      <c r="H14" s="14" t="s">
        <v>428</v>
      </c>
      <c r="I14" s="13">
        <v>1</v>
      </c>
      <c r="J14" s="14"/>
      <c r="K14" s="21">
        <v>0</v>
      </c>
      <c r="L14" s="1">
        <v>1</v>
      </c>
      <c r="M14" s="1">
        <v>0</v>
      </c>
      <c r="P14" s="12">
        <v>0</v>
      </c>
    </row>
    <row r="15" spans="1:17" ht="14.25" x14ac:dyDescent="0.15">
      <c r="A15" s="8">
        <v>60052</v>
      </c>
      <c r="B15" s="29" t="s">
        <v>438</v>
      </c>
      <c r="C15" s="29" t="s">
        <v>438</v>
      </c>
      <c r="D15" s="1">
        <v>3007</v>
      </c>
      <c r="E15" s="1">
        <v>4</v>
      </c>
      <c r="F15" s="1">
        <v>13</v>
      </c>
      <c r="G15" s="13">
        <v>3</v>
      </c>
      <c r="H15" s="14" t="s">
        <v>439</v>
      </c>
      <c r="I15" s="13">
        <v>1</v>
      </c>
      <c r="J15" s="14"/>
      <c r="K15" s="21">
        <v>0</v>
      </c>
      <c r="L15" s="1">
        <v>1</v>
      </c>
      <c r="M15" s="1">
        <v>0</v>
      </c>
      <c r="P15" s="12">
        <v>0</v>
      </c>
    </row>
    <row r="16" spans="1:17" ht="15" customHeight="1" x14ac:dyDescent="0.15">
      <c r="A16" s="8">
        <v>60053</v>
      </c>
      <c r="B16" s="29" t="s">
        <v>441</v>
      </c>
      <c r="C16" s="29" t="s">
        <v>441</v>
      </c>
      <c r="D16" s="1">
        <v>3007</v>
      </c>
      <c r="E16" s="1">
        <v>4</v>
      </c>
      <c r="F16" s="1">
        <v>13</v>
      </c>
      <c r="G16" s="13">
        <v>3</v>
      </c>
      <c r="H16" s="14" t="s">
        <v>442</v>
      </c>
      <c r="I16" s="13">
        <v>1</v>
      </c>
      <c r="J16" s="14"/>
      <c r="K16" s="21">
        <v>0</v>
      </c>
      <c r="L16" s="1">
        <v>1</v>
      </c>
      <c r="M16" s="1">
        <v>0</v>
      </c>
      <c r="P16" s="12">
        <v>0</v>
      </c>
    </row>
    <row r="17" spans="1:17" ht="15" customHeight="1" x14ac:dyDescent="0.15">
      <c r="A17" s="8">
        <v>400</v>
      </c>
      <c r="B17" s="29" t="s">
        <v>410</v>
      </c>
      <c r="D17" s="19">
        <v>5059</v>
      </c>
      <c r="E17" s="1">
        <v>4</v>
      </c>
      <c r="F17" s="1">
        <v>1</v>
      </c>
      <c r="G17" s="13">
        <v>0</v>
      </c>
      <c r="H17" s="14"/>
      <c r="I17" s="13">
        <v>1</v>
      </c>
      <c r="J17" s="14"/>
      <c r="K17" s="21">
        <v>0</v>
      </c>
      <c r="L17" s="1">
        <v>1</v>
      </c>
      <c r="M17" s="1">
        <v>0</v>
      </c>
      <c r="P17" s="12">
        <v>0</v>
      </c>
    </row>
    <row r="18" spans="1:17" ht="14.25" x14ac:dyDescent="0.15">
      <c r="A18" s="8">
        <v>401</v>
      </c>
      <c r="B18" s="29" t="s">
        <v>435</v>
      </c>
      <c r="D18" s="19">
        <v>5059</v>
      </c>
      <c r="E18" s="1">
        <v>4</v>
      </c>
      <c r="F18" s="1">
        <v>1</v>
      </c>
      <c r="G18" s="13">
        <v>2</v>
      </c>
      <c r="H18" s="14" t="s">
        <v>695</v>
      </c>
      <c r="I18" s="13">
        <v>1</v>
      </c>
      <c r="J18" s="14"/>
      <c r="K18" s="21">
        <v>0</v>
      </c>
      <c r="L18" s="1">
        <v>1</v>
      </c>
      <c r="M18" s="1">
        <v>0</v>
      </c>
      <c r="P18" s="12">
        <v>0</v>
      </c>
    </row>
    <row r="19" spans="1:17" ht="14.25" x14ac:dyDescent="0.15">
      <c r="A19" s="8">
        <v>500</v>
      </c>
      <c r="B19" s="29" t="s">
        <v>402</v>
      </c>
      <c r="C19" s="1" t="s">
        <v>403</v>
      </c>
      <c r="D19" s="19">
        <v>5018</v>
      </c>
      <c r="E19" s="1">
        <v>4</v>
      </c>
      <c r="F19" s="1">
        <v>14</v>
      </c>
      <c r="G19" s="13">
        <v>2</v>
      </c>
      <c r="H19" s="14" t="s">
        <v>404</v>
      </c>
      <c r="I19" s="13">
        <v>1</v>
      </c>
      <c r="J19" s="14"/>
      <c r="K19" s="21">
        <v>0</v>
      </c>
      <c r="L19" s="1">
        <v>1</v>
      </c>
      <c r="M19" s="1">
        <v>0</v>
      </c>
      <c r="P19" s="12">
        <v>0</v>
      </c>
    </row>
    <row r="20" spans="1:17" ht="15" customHeight="1" x14ac:dyDescent="0.15">
      <c r="A20" s="2">
        <v>510</v>
      </c>
      <c r="B20" s="3" t="s">
        <v>408</v>
      </c>
      <c r="C20" s="4" t="s">
        <v>85</v>
      </c>
      <c r="D20" s="4">
        <v>5001</v>
      </c>
      <c r="E20" s="4">
        <v>3</v>
      </c>
      <c r="F20" s="4">
        <v>5</v>
      </c>
      <c r="G20" s="13">
        <v>2</v>
      </c>
      <c r="I20" s="13">
        <v>1</v>
      </c>
      <c r="K20" s="10">
        <v>0</v>
      </c>
      <c r="L20" s="4">
        <v>410</v>
      </c>
      <c r="M20" s="4">
        <v>0</v>
      </c>
      <c r="N20" s="4" t="s">
        <v>86</v>
      </c>
      <c r="O20" s="4" t="s">
        <v>87</v>
      </c>
      <c r="P20" s="12">
        <v>0</v>
      </c>
    </row>
    <row r="21" spans="1:17" ht="14.25" x14ac:dyDescent="0.15">
      <c r="A21" s="2">
        <v>511</v>
      </c>
      <c r="B21" s="3" t="s">
        <v>409</v>
      </c>
      <c r="C21" s="4" t="s">
        <v>89</v>
      </c>
      <c r="D21" s="4">
        <v>5000</v>
      </c>
      <c r="E21" s="4">
        <v>4</v>
      </c>
      <c r="F21" s="4">
        <v>5</v>
      </c>
      <c r="G21" s="13">
        <v>2</v>
      </c>
      <c r="I21" s="13">
        <v>1</v>
      </c>
      <c r="K21" s="10">
        <v>0</v>
      </c>
      <c r="L21" s="4">
        <v>410</v>
      </c>
      <c r="M21" s="4">
        <v>0</v>
      </c>
      <c r="N21" s="4" t="s">
        <v>90</v>
      </c>
      <c r="O21" s="4" t="s">
        <v>91</v>
      </c>
      <c r="P21" s="12">
        <v>0</v>
      </c>
    </row>
    <row r="22" spans="1:17" ht="14.25" x14ac:dyDescent="0.15">
      <c r="A22" s="2">
        <v>512</v>
      </c>
      <c r="B22" s="3" t="s">
        <v>405</v>
      </c>
      <c r="C22" s="4" t="s">
        <v>93</v>
      </c>
      <c r="D22" s="4">
        <v>5000</v>
      </c>
      <c r="E22" s="4">
        <v>5</v>
      </c>
      <c r="F22" s="4">
        <v>5</v>
      </c>
      <c r="G22" s="13">
        <v>2</v>
      </c>
      <c r="I22" s="13">
        <v>1</v>
      </c>
      <c r="K22" s="10">
        <v>0</v>
      </c>
      <c r="L22" s="4">
        <v>410</v>
      </c>
      <c r="M22" s="4">
        <v>0</v>
      </c>
      <c r="N22" s="4" t="s">
        <v>94</v>
      </c>
      <c r="O22" s="4" t="s">
        <v>95</v>
      </c>
      <c r="P22" s="12">
        <v>0</v>
      </c>
    </row>
    <row r="23" spans="1:17" ht="14.25" x14ac:dyDescent="0.15">
      <c r="A23" s="2">
        <v>513</v>
      </c>
      <c r="B23" s="3" t="s">
        <v>406</v>
      </c>
      <c r="C23" s="4"/>
      <c r="D23" s="4">
        <v>5000</v>
      </c>
      <c r="E23" s="4">
        <v>6</v>
      </c>
      <c r="F23" s="4">
        <v>5</v>
      </c>
      <c r="G23" s="13">
        <v>2</v>
      </c>
      <c r="I23" s="13">
        <v>1</v>
      </c>
      <c r="K23" s="10">
        <v>0</v>
      </c>
      <c r="L23" s="4">
        <v>410</v>
      </c>
      <c r="M23" s="4">
        <v>0</v>
      </c>
      <c r="N23" s="4" t="s">
        <v>86</v>
      </c>
      <c r="O23" s="4" t="s">
        <v>87</v>
      </c>
      <c r="P23" s="12">
        <v>0</v>
      </c>
    </row>
    <row r="24" spans="1:17" ht="14.25" x14ac:dyDescent="0.15">
      <c r="A24" s="2">
        <v>514</v>
      </c>
      <c r="B24" s="29" t="s">
        <v>407</v>
      </c>
      <c r="D24" s="4">
        <v>5000</v>
      </c>
      <c r="E24" s="1">
        <v>7</v>
      </c>
      <c r="F24" s="4">
        <v>5</v>
      </c>
      <c r="G24" s="13">
        <v>2</v>
      </c>
      <c r="H24" s="14"/>
      <c r="I24" s="13">
        <v>1</v>
      </c>
      <c r="K24" s="10">
        <v>0</v>
      </c>
      <c r="L24" s="4">
        <v>410</v>
      </c>
      <c r="M24" s="4">
        <v>0</v>
      </c>
      <c r="N24" s="4" t="s">
        <v>90</v>
      </c>
      <c r="O24" s="4" t="s">
        <v>91</v>
      </c>
      <c r="P24" s="12">
        <v>0</v>
      </c>
    </row>
    <row r="25" spans="1:17" ht="14.25" x14ac:dyDescent="0.15">
      <c r="A25" s="2">
        <v>610</v>
      </c>
      <c r="B25" s="3" t="s">
        <v>40</v>
      </c>
      <c r="C25" s="4" t="s">
        <v>41</v>
      </c>
      <c r="D25" s="28">
        <v>521</v>
      </c>
      <c r="E25" s="4">
        <v>2</v>
      </c>
      <c r="F25" s="4">
        <v>4</v>
      </c>
      <c r="G25" s="13">
        <v>0</v>
      </c>
      <c r="H25" s="11" t="s">
        <v>42</v>
      </c>
      <c r="I25" s="13">
        <v>1</v>
      </c>
      <c r="K25" s="10">
        <v>0</v>
      </c>
      <c r="L25" s="4">
        <v>50</v>
      </c>
      <c r="M25" s="4">
        <v>10</v>
      </c>
      <c r="N25" s="4" t="s">
        <v>43</v>
      </c>
      <c r="O25" s="4" t="s">
        <v>44</v>
      </c>
      <c r="P25" s="12">
        <v>0</v>
      </c>
      <c r="Q25" s="12">
        <v>1130</v>
      </c>
    </row>
    <row r="26" spans="1:17" ht="14.25" x14ac:dyDescent="0.15">
      <c r="A26" s="2">
        <v>611</v>
      </c>
      <c r="B26" s="3" t="s">
        <v>45</v>
      </c>
      <c r="C26" s="4" t="s">
        <v>46</v>
      </c>
      <c r="D26" s="28">
        <v>522</v>
      </c>
      <c r="E26" s="4">
        <v>3</v>
      </c>
      <c r="F26" s="4">
        <v>4</v>
      </c>
      <c r="G26" s="13">
        <v>0</v>
      </c>
      <c r="H26" s="11" t="s">
        <v>47</v>
      </c>
      <c r="I26" s="13">
        <v>1</v>
      </c>
      <c r="K26" s="10">
        <v>0</v>
      </c>
      <c r="L26" s="4">
        <v>340</v>
      </c>
      <c r="M26" s="4">
        <v>20</v>
      </c>
      <c r="N26" s="4" t="s">
        <v>48</v>
      </c>
      <c r="O26" s="4" t="s">
        <v>49</v>
      </c>
      <c r="P26" s="12">
        <v>0</v>
      </c>
      <c r="Q26" s="12">
        <v>1130</v>
      </c>
    </row>
    <row r="27" spans="1:17" ht="14.25" x14ac:dyDescent="0.15">
      <c r="A27" s="2">
        <v>612</v>
      </c>
      <c r="B27" s="3" t="s">
        <v>50</v>
      </c>
      <c r="C27" s="4" t="s">
        <v>51</v>
      </c>
      <c r="D27" s="28">
        <v>523</v>
      </c>
      <c r="E27" s="4">
        <v>4</v>
      </c>
      <c r="F27" s="4">
        <v>4</v>
      </c>
      <c r="G27" s="13">
        <v>0</v>
      </c>
      <c r="H27" s="11" t="s">
        <v>52</v>
      </c>
      <c r="I27" s="13">
        <v>1</v>
      </c>
      <c r="K27" s="10">
        <v>0</v>
      </c>
      <c r="L27" s="4">
        <v>40</v>
      </c>
      <c r="M27" s="4">
        <v>10</v>
      </c>
      <c r="N27" s="4" t="s">
        <v>53</v>
      </c>
      <c r="O27" s="4" t="s">
        <v>54</v>
      </c>
      <c r="P27" s="12">
        <v>0</v>
      </c>
      <c r="Q27" s="12">
        <v>1130</v>
      </c>
    </row>
    <row r="28" spans="1:17" ht="14.25" x14ac:dyDescent="0.15">
      <c r="A28" s="2">
        <v>613</v>
      </c>
      <c r="B28" s="3" t="s">
        <v>55</v>
      </c>
      <c r="C28" s="4" t="s">
        <v>56</v>
      </c>
      <c r="D28" s="28">
        <v>524</v>
      </c>
      <c r="E28" s="4">
        <v>5</v>
      </c>
      <c r="F28" s="4">
        <v>4</v>
      </c>
      <c r="G28" s="13">
        <v>0</v>
      </c>
      <c r="H28" s="11" t="s">
        <v>57</v>
      </c>
      <c r="I28" s="13">
        <v>1</v>
      </c>
      <c r="K28" s="10">
        <v>0</v>
      </c>
      <c r="L28" s="4">
        <v>140</v>
      </c>
      <c r="M28" s="4">
        <v>10</v>
      </c>
      <c r="N28" s="4" t="s">
        <v>58</v>
      </c>
      <c r="O28" s="4" t="s">
        <v>59</v>
      </c>
      <c r="P28" s="12">
        <v>0</v>
      </c>
      <c r="Q28" s="12">
        <v>1130</v>
      </c>
    </row>
    <row r="29" spans="1:17" ht="14.25" x14ac:dyDescent="0.15">
      <c r="A29" s="2">
        <v>614</v>
      </c>
      <c r="B29" s="3" t="s">
        <v>432</v>
      </c>
      <c r="C29" s="4" t="s">
        <v>440</v>
      </c>
      <c r="D29" s="28">
        <v>612</v>
      </c>
      <c r="E29" s="4">
        <v>5</v>
      </c>
      <c r="F29" s="4">
        <v>1</v>
      </c>
      <c r="G29" s="13">
        <v>0</v>
      </c>
      <c r="I29" s="13">
        <v>1</v>
      </c>
      <c r="K29" s="10">
        <v>0</v>
      </c>
      <c r="L29" s="4">
        <v>140</v>
      </c>
      <c r="M29" s="4">
        <v>10</v>
      </c>
      <c r="N29" s="4" t="s">
        <v>58</v>
      </c>
      <c r="O29" s="4" t="s">
        <v>59</v>
      </c>
      <c r="P29" s="12">
        <v>0</v>
      </c>
    </row>
    <row r="30" spans="1:17" ht="14.25" x14ac:dyDescent="0.15">
      <c r="A30" s="17">
        <v>834</v>
      </c>
      <c r="B30" s="18" t="s">
        <v>60</v>
      </c>
      <c r="C30" s="19" t="s">
        <v>61</v>
      </c>
      <c r="D30" s="19">
        <v>3105</v>
      </c>
      <c r="E30" s="19">
        <v>2</v>
      </c>
      <c r="F30" s="19">
        <v>3</v>
      </c>
      <c r="G30" s="13">
        <v>0</v>
      </c>
      <c r="H30" s="11" t="s">
        <v>389</v>
      </c>
      <c r="I30" s="13">
        <v>1</v>
      </c>
      <c r="K30" s="10">
        <v>0</v>
      </c>
      <c r="L30" s="19">
        <v>270</v>
      </c>
      <c r="M30" s="19">
        <v>100</v>
      </c>
      <c r="N30" s="19" t="s">
        <v>62</v>
      </c>
      <c r="O30" s="4" t="s">
        <v>63</v>
      </c>
      <c r="P30" s="12">
        <v>0</v>
      </c>
      <c r="Q30" s="12">
        <v>1160</v>
      </c>
    </row>
    <row r="31" spans="1:17" ht="14.25" x14ac:dyDescent="0.15">
      <c r="A31" s="17">
        <v>835</v>
      </c>
      <c r="B31" s="18" t="s">
        <v>64</v>
      </c>
      <c r="C31" s="19" t="s">
        <v>65</v>
      </c>
      <c r="D31" s="19">
        <v>3107</v>
      </c>
      <c r="E31" s="19">
        <v>3</v>
      </c>
      <c r="F31" s="19">
        <v>3</v>
      </c>
      <c r="G31" s="13">
        <v>0</v>
      </c>
      <c r="H31" s="27" t="s">
        <v>390</v>
      </c>
      <c r="I31" s="13">
        <v>1</v>
      </c>
      <c r="K31" s="10">
        <v>0</v>
      </c>
      <c r="L31" s="19">
        <v>270</v>
      </c>
      <c r="M31" s="19">
        <v>250</v>
      </c>
      <c r="N31" s="19" t="s">
        <v>66</v>
      </c>
      <c r="O31" s="4" t="s">
        <v>67</v>
      </c>
      <c r="P31" s="12">
        <v>0</v>
      </c>
      <c r="Q31" s="12">
        <v>1160</v>
      </c>
    </row>
    <row r="32" spans="1:17" ht="14.25" x14ac:dyDescent="0.15">
      <c r="A32" s="17">
        <v>836</v>
      </c>
      <c r="B32" s="18" t="s">
        <v>68</v>
      </c>
      <c r="C32" s="19" t="s">
        <v>69</v>
      </c>
      <c r="D32" s="19">
        <v>3101</v>
      </c>
      <c r="E32" s="19">
        <v>4</v>
      </c>
      <c r="F32" s="19">
        <v>3</v>
      </c>
      <c r="G32" s="13">
        <v>0</v>
      </c>
      <c r="H32" s="27" t="s">
        <v>391</v>
      </c>
      <c r="I32" s="13">
        <v>1</v>
      </c>
      <c r="K32" s="10">
        <v>0</v>
      </c>
      <c r="L32" s="19">
        <v>270</v>
      </c>
      <c r="M32" s="19">
        <v>10000</v>
      </c>
      <c r="N32" s="19" t="s">
        <v>70</v>
      </c>
      <c r="O32" s="4" t="s">
        <v>71</v>
      </c>
      <c r="P32" s="12">
        <v>0</v>
      </c>
      <c r="Q32" s="12">
        <v>1160</v>
      </c>
    </row>
    <row r="33" spans="1:17" ht="14.25" x14ac:dyDescent="0.15">
      <c r="A33" s="17">
        <v>837</v>
      </c>
      <c r="B33" s="18" t="s">
        <v>72</v>
      </c>
      <c r="C33" s="19" t="s">
        <v>73</v>
      </c>
      <c r="D33" s="19">
        <v>3106</v>
      </c>
      <c r="E33" s="19">
        <v>5</v>
      </c>
      <c r="F33" s="19">
        <v>3</v>
      </c>
      <c r="G33" s="13">
        <v>0</v>
      </c>
      <c r="H33" s="27" t="s">
        <v>392</v>
      </c>
      <c r="I33" s="13">
        <v>1</v>
      </c>
      <c r="K33" s="10">
        <v>0</v>
      </c>
      <c r="L33" s="19">
        <v>270</v>
      </c>
      <c r="M33" s="19">
        <v>62500</v>
      </c>
      <c r="N33" s="19" t="s">
        <v>74</v>
      </c>
      <c r="O33" s="4" t="s">
        <v>75</v>
      </c>
      <c r="P33" s="12">
        <v>0</v>
      </c>
      <c r="Q33" s="12">
        <v>1160</v>
      </c>
    </row>
    <row r="34" spans="1:17" ht="14.25" x14ac:dyDescent="0.15">
      <c r="A34" s="2">
        <v>851</v>
      </c>
      <c r="B34" s="3" t="s">
        <v>317</v>
      </c>
      <c r="C34" s="4" t="s">
        <v>399</v>
      </c>
      <c r="D34" s="4">
        <v>612</v>
      </c>
      <c r="E34" s="4">
        <v>3</v>
      </c>
      <c r="F34" s="4">
        <v>1</v>
      </c>
      <c r="G34" s="13">
        <v>0</v>
      </c>
      <c r="I34" s="13">
        <v>1</v>
      </c>
      <c r="K34" s="10">
        <v>0</v>
      </c>
      <c r="L34" s="4">
        <v>20</v>
      </c>
      <c r="M34" s="4">
        <v>10</v>
      </c>
      <c r="N34" s="4" t="s">
        <v>76</v>
      </c>
      <c r="O34" s="4" t="s">
        <v>77</v>
      </c>
      <c r="P34" s="12">
        <v>0</v>
      </c>
      <c r="Q34" s="12">
        <v>1180</v>
      </c>
    </row>
    <row r="35" spans="1:17" ht="14.25" x14ac:dyDescent="0.15">
      <c r="A35" s="2">
        <v>852</v>
      </c>
      <c r="B35" s="3" t="s">
        <v>433</v>
      </c>
      <c r="C35" s="4" t="s">
        <v>400</v>
      </c>
      <c r="D35" s="4">
        <v>5304</v>
      </c>
      <c r="E35" s="4">
        <v>4</v>
      </c>
      <c r="F35" s="4">
        <v>1</v>
      </c>
      <c r="G35" s="13">
        <v>0</v>
      </c>
      <c r="I35" s="13">
        <v>1</v>
      </c>
      <c r="K35" s="10">
        <v>0</v>
      </c>
      <c r="L35" s="4">
        <v>20</v>
      </c>
      <c r="M35" s="4">
        <v>30</v>
      </c>
      <c r="N35" s="4" t="s">
        <v>78</v>
      </c>
      <c r="O35" s="4" t="s">
        <v>79</v>
      </c>
      <c r="P35" s="12">
        <v>0</v>
      </c>
    </row>
    <row r="36" spans="1:17" ht="14.25" x14ac:dyDescent="0.15">
      <c r="A36" s="2">
        <v>853</v>
      </c>
      <c r="B36" s="3" t="s">
        <v>319</v>
      </c>
      <c r="C36" s="4" t="s">
        <v>401</v>
      </c>
      <c r="D36" s="4">
        <v>5300</v>
      </c>
      <c r="E36" s="4">
        <v>5</v>
      </c>
      <c r="F36" s="4">
        <v>1</v>
      </c>
      <c r="G36" s="13">
        <v>0</v>
      </c>
      <c r="I36" s="13">
        <v>1</v>
      </c>
      <c r="K36" s="10">
        <v>0</v>
      </c>
      <c r="L36" s="4">
        <v>20</v>
      </c>
      <c r="M36" s="4">
        <v>90</v>
      </c>
      <c r="N36" s="4" t="s">
        <v>80</v>
      </c>
      <c r="O36" s="4" t="s">
        <v>81</v>
      </c>
      <c r="P36" s="12">
        <v>0</v>
      </c>
    </row>
    <row r="37" spans="1:17" ht="14.25" x14ac:dyDescent="0.15">
      <c r="A37" s="2">
        <v>854</v>
      </c>
      <c r="B37" s="3" t="s">
        <v>318</v>
      </c>
      <c r="C37" s="4" t="s">
        <v>434</v>
      </c>
      <c r="D37" s="4">
        <v>543</v>
      </c>
      <c r="E37" s="4">
        <v>6</v>
      </c>
      <c r="F37" s="4">
        <v>1</v>
      </c>
      <c r="G37" s="13">
        <v>0</v>
      </c>
      <c r="I37" s="13">
        <v>1</v>
      </c>
      <c r="K37" s="10">
        <v>0</v>
      </c>
      <c r="L37" s="4">
        <v>20</v>
      </c>
      <c r="M37" s="4">
        <f>M36*3</f>
        <v>270</v>
      </c>
      <c r="N37" s="4" t="s">
        <v>80</v>
      </c>
      <c r="O37" s="4" t="s">
        <v>81</v>
      </c>
      <c r="P37" s="12">
        <v>0</v>
      </c>
      <c r="Q37" s="12">
        <v>1140</v>
      </c>
    </row>
    <row r="38" spans="1:17" ht="14.25" x14ac:dyDescent="0.15">
      <c r="A38" s="17">
        <v>855</v>
      </c>
      <c r="B38" s="18" t="s">
        <v>82</v>
      </c>
      <c r="C38" s="19" t="s">
        <v>83</v>
      </c>
      <c r="D38" s="19">
        <v>3018</v>
      </c>
      <c r="E38" s="19">
        <v>7</v>
      </c>
      <c r="F38" s="19">
        <v>1</v>
      </c>
      <c r="G38" s="13">
        <v>0</v>
      </c>
      <c r="I38" s="13">
        <v>1</v>
      </c>
      <c r="K38" s="10">
        <v>0</v>
      </c>
      <c r="L38" s="19">
        <v>20</v>
      </c>
      <c r="M38" s="19">
        <v>810</v>
      </c>
      <c r="N38" s="19" t="s">
        <v>80</v>
      </c>
      <c r="O38" s="4" t="s">
        <v>81</v>
      </c>
      <c r="P38" s="12">
        <v>0</v>
      </c>
    </row>
    <row r="39" spans="1:17" ht="14.25" x14ac:dyDescent="0.15">
      <c r="A39" s="2">
        <v>1100</v>
      </c>
      <c r="B39" s="3" t="s">
        <v>84</v>
      </c>
      <c r="C39" s="4" t="s">
        <v>85</v>
      </c>
      <c r="D39" s="4">
        <v>5001</v>
      </c>
      <c r="E39" s="4">
        <v>4</v>
      </c>
      <c r="F39" s="4">
        <v>5</v>
      </c>
      <c r="G39" s="13">
        <v>2</v>
      </c>
      <c r="I39" s="13">
        <v>1</v>
      </c>
      <c r="K39" s="10">
        <v>0</v>
      </c>
      <c r="L39" s="4">
        <v>410</v>
      </c>
      <c r="M39" s="4">
        <v>0</v>
      </c>
      <c r="N39" s="4" t="s">
        <v>86</v>
      </c>
      <c r="O39" s="4" t="s">
        <v>87</v>
      </c>
      <c r="P39" s="12">
        <v>0</v>
      </c>
    </row>
    <row r="40" spans="1:17" ht="14.25" x14ac:dyDescent="0.15">
      <c r="A40" s="2">
        <v>1101</v>
      </c>
      <c r="B40" s="3" t="s">
        <v>88</v>
      </c>
      <c r="C40" s="4" t="s">
        <v>89</v>
      </c>
      <c r="D40" s="4">
        <v>5000</v>
      </c>
      <c r="E40" s="4">
        <v>4</v>
      </c>
      <c r="F40" s="4">
        <v>5</v>
      </c>
      <c r="G40" s="13">
        <v>2</v>
      </c>
      <c r="I40" s="13">
        <v>1</v>
      </c>
      <c r="K40" s="10">
        <v>0</v>
      </c>
      <c r="L40" s="4">
        <v>410</v>
      </c>
      <c r="M40" s="4">
        <v>0</v>
      </c>
      <c r="N40" s="4" t="s">
        <v>90</v>
      </c>
      <c r="O40" s="4" t="s">
        <v>91</v>
      </c>
      <c r="P40" s="12">
        <v>0</v>
      </c>
    </row>
    <row r="41" spans="1:17" ht="14.25" x14ac:dyDescent="0.15">
      <c r="A41" s="2">
        <v>1105</v>
      </c>
      <c r="B41" s="3" t="s">
        <v>92</v>
      </c>
      <c r="C41" s="4" t="s">
        <v>93</v>
      </c>
      <c r="D41" s="4">
        <v>3104</v>
      </c>
      <c r="E41" s="4">
        <v>4</v>
      </c>
      <c r="F41" s="4">
        <v>5</v>
      </c>
      <c r="G41" s="13">
        <v>2</v>
      </c>
      <c r="I41" s="13">
        <v>1</v>
      </c>
      <c r="K41" s="10">
        <v>0</v>
      </c>
      <c r="L41" s="4">
        <v>410</v>
      </c>
      <c r="M41" s="4">
        <v>0</v>
      </c>
      <c r="N41" s="4" t="s">
        <v>94</v>
      </c>
      <c r="O41" s="4" t="s">
        <v>95</v>
      </c>
      <c r="P41" s="12">
        <v>0</v>
      </c>
    </row>
    <row r="42" spans="1:17" ht="14.25" x14ac:dyDescent="0.15">
      <c r="A42" s="2">
        <v>1111</v>
      </c>
      <c r="B42" s="3" t="s">
        <v>96</v>
      </c>
      <c r="C42" s="4" t="s">
        <v>97</v>
      </c>
      <c r="D42" s="4">
        <v>3104</v>
      </c>
      <c r="E42" s="4">
        <v>2</v>
      </c>
      <c r="F42" s="4">
        <v>5</v>
      </c>
      <c r="G42" s="13">
        <v>2</v>
      </c>
      <c r="I42" s="13">
        <v>1</v>
      </c>
      <c r="K42" s="10">
        <v>0</v>
      </c>
      <c r="L42" s="4">
        <v>410</v>
      </c>
      <c r="M42" s="4">
        <v>0</v>
      </c>
      <c r="N42" s="4" t="s">
        <v>98</v>
      </c>
      <c r="O42" s="4" t="s">
        <v>99</v>
      </c>
      <c r="P42" s="12">
        <v>0</v>
      </c>
    </row>
    <row r="43" spans="1:17" ht="14.25" x14ac:dyDescent="0.15">
      <c r="A43" s="2">
        <v>1112</v>
      </c>
      <c r="B43" s="3" t="s">
        <v>100</v>
      </c>
      <c r="C43" s="4" t="s">
        <v>101</v>
      </c>
      <c r="D43" s="4">
        <v>3104</v>
      </c>
      <c r="E43" s="4">
        <v>5</v>
      </c>
      <c r="F43" s="4">
        <v>5</v>
      </c>
      <c r="G43" s="13">
        <v>2</v>
      </c>
      <c r="I43" s="13">
        <v>1</v>
      </c>
      <c r="K43" s="10">
        <v>0</v>
      </c>
      <c r="L43" s="4">
        <v>410</v>
      </c>
      <c r="M43" s="4">
        <v>0</v>
      </c>
      <c r="N43" s="4" t="s">
        <v>98</v>
      </c>
      <c r="O43" s="4" t="s">
        <v>99</v>
      </c>
      <c r="P43" s="12">
        <v>0</v>
      </c>
    </row>
    <row r="44" spans="1:17" ht="14.25" x14ac:dyDescent="0.15">
      <c r="A44" s="2">
        <v>1113</v>
      </c>
      <c r="B44" s="3" t="s">
        <v>102</v>
      </c>
      <c r="C44" s="4" t="s">
        <v>103</v>
      </c>
      <c r="D44" s="4">
        <v>3104</v>
      </c>
      <c r="E44" s="4">
        <v>5</v>
      </c>
      <c r="F44" s="4">
        <v>5</v>
      </c>
      <c r="G44" s="13">
        <v>2</v>
      </c>
      <c r="I44" s="13">
        <v>1</v>
      </c>
      <c r="K44" s="10">
        <v>0</v>
      </c>
      <c r="L44" s="4">
        <v>410</v>
      </c>
      <c r="M44" s="4">
        <v>0</v>
      </c>
      <c r="N44" s="4" t="s">
        <v>98</v>
      </c>
      <c r="O44" s="4" t="s">
        <v>99</v>
      </c>
      <c r="P44" s="12">
        <v>0</v>
      </c>
    </row>
    <row r="45" spans="1:17" ht="14.25" x14ac:dyDescent="0.15">
      <c r="A45" s="2">
        <v>1114</v>
      </c>
      <c r="B45" s="3" t="s">
        <v>104</v>
      </c>
      <c r="C45" s="4" t="s">
        <v>103</v>
      </c>
      <c r="D45" s="4">
        <v>3104</v>
      </c>
      <c r="E45" s="4">
        <v>5</v>
      </c>
      <c r="F45" s="4">
        <v>6</v>
      </c>
      <c r="G45" s="13">
        <v>2</v>
      </c>
      <c r="H45" s="11" t="s">
        <v>105</v>
      </c>
      <c r="I45" s="13">
        <v>1</v>
      </c>
      <c r="J45" s="11" t="s">
        <v>106</v>
      </c>
      <c r="K45" s="10">
        <v>0</v>
      </c>
      <c r="L45" s="4">
        <v>410</v>
      </c>
      <c r="M45" s="4">
        <v>0</v>
      </c>
      <c r="N45" s="4" t="s">
        <v>98</v>
      </c>
      <c r="O45" s="4" t="s">
        <v>99</v>
      </c>
      <c r="P45" s="12">
        <v>0</v>
      </c>
    </row>
    <row r="46" spans="1:17" ht="14.25" x14ac:dyDescent="0.15">
      <c r="A46" s="17">
        <v>1115</v>
      </c>
      <c r="B46" s="18" t="s">
        <v>107</v>
      </c>
      <c r="C46" s="19" t="s">
        <v>108</v>
      </c>
      <c r="D46" s="19">
        <v>2103</v>
      </c>
      <c r="E46" s="19">
        <v>3</v>
      </c>
      <c r="F46" s="19">
        <v>11</v>
      </c>
      <c r="G46" s="13">
        <v>0</v>
      </c>
      <c r="I46" s="13">
        <v>1</v>
      </c>
      <c r="J46" s="11" t="s">
        <v>109</v>
      </c>
      <c r="K46" s="10">
        <v>0</v>
      </c>
      <c r="L46" s="19">
        <v>370</v>
      </c>
      <c r="M46" s="19">
        <v>200</v>
      </c>
      <c r="N46" s="19"/>
      <c r="O46" s="4"/>
      <c r="P46" s="12">
        <v>0</v>
      </c>
    </row>
    <row r="47" spans="1:17" ht="14.25" x14ac:dyDescent="0.15">
      <c r="A47" s="17">
        <v>1000</v>
      </c>
      <c r="B47" s="18" t="s">
        <v>394</v>
      </c>
      <c r="C47" s="19" t="s">
        <v>396</v>
      </c>
      <c r="D47" s="19">
        <v>2103</v>
      </c>
      <c r="E47" s="19">
        <v>5</v>
      </c>
      <c r="F47" s="19">
        <v>1</v>
      </c>
      <c r="G47" s="13">
        <v>0</v>
      </c>
      <c r="I47" s="13">
        <v>1</v>
      </c>
      <c r="K47" s="10">
        <v>0</v>
      </c>
      <c r="L47" s="19">
        <v>370</v>
      </c>
      <c r="M47" s="19">
        <v>0</v>
      </c>
      <c r="N47" s="19"/>
      <c r="O47" s="4"/>
      <c r="P47" s="12">
        <v>0</v>
      </c>
      <c r="Q47" s="12">
        <v>1010</v>
      </c>
    </row>
    <row r="48" spans="1:17" ht="14.25" x14ac:dyDescent="0.15">
      <c r="A48" s="17">
        <v>1001</v>
      </c>
      <c r="B48" s="18" t="s">
        <v>393</v>
      </c>
      <c r="C48" s="19" t="s">
        <v>397</v>
      </c>
      <c r="D48" s="19">
        <v>3028</v>
      </c>
      <c r="E48" s="19">
        <v>4</v>
      </c>
      <c r="F48" s="19">
        <v>1</v>
      </c>
      <c r="G48" s="13">
        <v>0</v>
      </c>
      <c r="I48" s="13">
        <v>1</v>
      </c>
      <c r="K48" s="10">
        <v>0</v>
      </c>
      <c r="L48" s="19">
        <v>370</v>
      </c>
      <c r="M48" s="19">
        <v>0</v>
      </c>
      <c r="N48" s="19"/>
      <c r="O48" s="4"/>
      <c r="P48" s="12">
        <v>0</v>
      </c>
      <c r="Q48" s="12">
        <v>1010</v>
      </c>
    </row>
    <row r="49" spans="1:17" ht="14.25" x14ac:dyDescent="0.15">
      <c r="A49" s="17">
        <v>1002</v>
      </c>
      <c r="B49" s="18" t="s">
        <v>395</v>
      </c>
      <c r="C49" s="19" t="s">
        <v>398</v>
      </c>
      <c r="D49" s="19">
        <v>2104</v>
      </c>
      <c r="E49" s="19">
        <v>4</v>
      </c>
      <c r="F49" s="19">
        <v>1</v>
      </c>
      <c r="G49" s="13">
        <v>0</v>
      </c>
      <c r="I49" s="13">
        <v>1</v>
      </c>
      <c r="K49" s="10">
        <v>0</v>
      </c>
      <c r="L49" s="19">
        <v>370</v>
      </c>
      <c r="M49" s="19">
        <v>0</v>
      </c>
      <c r="N49" s="19"/>
      <c r="O49" s="4"/>
      <c r="P49" s="12">
        <v>0</v>
      </c>
      <c r="Q49" s="12">
        <v>1010</v>
      </c>
    </row>
    <row r="50" spans="1:17" ht="14.25" x14ac:dyDescent="0.15">
      <c r="A50" s="2">
        <v>2386</v>
      </c>
      <c r="B50" s="3" t="s">
        <v>110</v>
      </c>
      <c r="C50" s="4" t="s">
        <v>111</v>
      </c>
      <c r="D50" s="4">
        <v>1004</v>
      </c>
      <c r="E50" s="4">
        <v>3</v>
      </c>
      <c r="F50" s="4">
        <v>5</v>
      </c>
      <c r="G50" s="13">
        <v>2</v>
      </c>
      <c r="I50" s="13">
        <v>1</v>
      </c>
      <c r="K50" s="10">
        <v>0</v>
      </c>
      <c r="L50" s="4">
        <v>300</v>
      </c>
      <c r="M50" s="4">
        <v>48</v>
      </c>
      <c r="N50" s="4" t="s">
        <v>98</v>
      </c>
      <c r="O50" s="4" t="s">
        <v>99</v>
      </c>
      <c r="P50" s="12">
        <v>0</v>
      </c>
    </row>
    <row r="51" spans="1:17" ht="15.75" x14ac:dyDescent="0.3">
      <c r="A51" s="6">
        <v>2401</v>
      </c>
      <c r="B51" s="18" t="s">
        <v>112</v>
      </c>
      <c r="C51" s="19" t="s">
        <v>113</v>
      </c>
      <c r="D51" s="20">
        <v>2401</v>
      </c>
      <c r="E51" s="19">
        <f>VLOOKUP(A51,Sheet2!$E$7:$F$54,2,0)</f>
        <v>7</v>
      </c>
      <c r="F51" s="19">
        <v>2</v>
      </c>
      <c r="G51" s="13">
        <v>0</v>
      </c>
      <c r="I51" s="13">
        <v>1</v>
      </c>
      <c r="K51" s="10">
        <v>0</v>
      </c>
      <c r="L51" s="19">
        <v>90</v>
      </c>
      <c r="M51" s="19">
        <v>100</v>
      </c>
      <c r="N51" s="19" t="s">
        <v>114</v>
      </c>
      <c r="O51" s="4"/>
      <c r="P51" s="12">
        <v>0</v>
      </c>
    </row>
    <row r="52" spans="1:17" ht="15.75" x14ac:dyDescent="0.3">
      <c r="A52" s="6">
        <v>2402</v>
      </c>
      <c r="B52" s="18" t="s">
        <v>115</v>
      </c>
      <c r="C52" s="19" t="s">
        <v>116</v>
      </c>
      <c r="D52" s="20">
        <v>2402</v>
      </c>
      <c r="E52" s="19">
        <f>VLOOKUP(A52,Sheet2!$E$7:$F$54,2,0)</f>
        <v>7</v>
      </c>
      <c r="F52" s="19">
        <v>2</v>
      </c>
      <c r="G52" s="13">
        <v>0</v>
      </c>
      <c r="I52" s="13">
        <v>1</v>
      </c>
      <c r="K52" s="10">
        <v>0</v>
      </c>
      <c r="L52" s="19">
        <v>90</v>
      </c>
      <c r="M52" s="19">
        <v>100</v>
      </c>
      <c r="N52" s="19" t="s">
        <v>117</v>
      </c>
      <c r="O52" s="4"/>
      <c r="P52" s="12">
        <v>0</v>
      </c>
    </row>
    <row r="53" spans="1:17" ht="15.75" x14ac:dyDescent="0.3">
      <c r="A53" s="6">
        <v>2403</v>
      </c>
      <c r="B53" s="18" t="s">
        <v>118</v>
      </c>
      <c r="C53" s="19" t="s">
        <v>119</v>
      </c>
      <c r="D53" s="20">
        <v>2403</v>
      </c>
      <c r="E53" s="19">
        <f>VLOOKUP(A53,Sheet2!$E$7:$F$54,2,0)</f>
        <v>7</v>
      </c>
      <c r="F53" s="19">
        <v>2</v>
      </c>
      <c r="G53" s="13">
        <v>0</v>
      </c>
      <c r="I53" s="13">
        <v>1</v>
      </c>
      <c r="K53" s="10">
        <v>0</v>
      </c>
      <c r="L53" s="19">
        <v>90</v>
      </c>
      <c r="M53" s="19">
        <v>100</v>
      </c>
      <c r="N53" s="19" t="s">
        <v>117</v>
      </c>
      <c r="O53" s="4"/>
      <c r="P53" s="12">
        <v>0</v>
      </c>
    </row>
    <row r="54" spans="1:17" ht="15.75" x14ac:dyDescent="0.3">
      <c r="A54" s="6">
        <v>2404</v>
      </c>
      <c r="B54" s="18" t="s">
        <v>120</v>
      </c>
      <c r="C54" s="19" t="s">
        <v>121</v>
      </c>
      <c r="D54" s="20">
        <v>2404</v>
      </c>
      <c r="E54" s="19">
        <f>VLOOKUP(A54,Sheet2!$E$7:$F$54,2,0)</f>
        <v>6</v>
      </c>
      <c r="F54" s="19">
        <v>2</v>
      </c>
      <c r="G54" s="13">
        <v>0</v>
      </c>
      <c r="I54" s="13">
        <v>1</v>
      </c>
      <c r="K54" s="10">
        <v>0</v>
      </c>
      <c r="L54" s="19">
        <v>90</v>
      </c>
      <c r="M54" s="19">
        <v>100</v>
      </c>
      <c r="N54" s="19" t="s">
        <v>117</v>
      </c>
      <c r="O54" s="4"/>
      <c r="P54" s="12">
        <v>0</v>
      </c>
    </row>
    <row r="55" spans="1:17" ht="15.75" x14ac:dyDescent="0.3">
      <c r="A55" s="6">
        <v>2405</v>
      </c>
      <c r="B55" s="18" t="s">
        <v>122</v>
      </c>
      <c r="C55" s="19" t="s">
        <v>123</v>
      </c>
      <c r="D55" s="20">
        <v>2405</v>
      </c>
      <c r="E55" s="19">
        <f>VLOOKUP(A55,Sheet2!$E$7:$F$54,2,0)</f>
        <v>6</v>
      </c>
      <c r="F55" s="19">
        <v>2</v>
      </c>
      <c r="G55" s="13">
        <v>0</v>
      </c>
      <c r="I55" s="13">
        <v>1</v>
      </c>
      <c r="K55" s="10">
        <v>0</v>
      </c>
      <c r="L55" s="19">
        <v>90</v>
      </c>
      <c r="M55" s="19">
        <v>100</v>
      </c>
      <c r="N55" s="19" t="s">
        <v>117</v>
      </c>
      <c r="O55" s="4"/>
      <c r="P55" s="12">
        <v>0</v>
      </c>
    </row>
    <row r="56" spans="1:17" ht="15.75" x14ac:dyDescent="0.3">
      <c r="A56" s="6">
        <v>2406</v>
      </c>
      <c r="B56" s="18" t="s">
        <v>124</v>
      </c>
      <c r="C56" s="19" t="s">
        <v>125</v>
      </c>
      <c r="D56" s="20">
        <v>2406</v>
      </c>
      <c r="E56" s="19">
        <f>VLOOKUP(A56,Sheet2!$E$7:$F$54,2,0)</f>
        <v>6</v>
      </c>
      <c r="F56" s="19">
        <v>2</v>
      </c>
      <c r="G56" s="13">
        <v>0</v>
      </c>
      <c r="I56" s="13">
        <v>1</v>
      </c>
      <c r="K56" s="10">
        <v>0</v>
      </c>
      <c r="L56" s="19">
        <v>90</v>
      </c>
      <c r="M56" s="19">
        <v>100</v>
      </c>
      <c r="N56" s="19" t="s">
        <v>117</v>
      </c>
      <c r="O56" s="4"/>
      <c r="P56" s="12">
        <v>0</v>
      </c>
    </row>
    <row r="57" spans="1:17" ht="15.75" x14ac:dyDescent="0.3">
      <c r="A57" s="6">
        <v>2407</v>
      </c>
      <c r="B57" s="18" t="s">
        <v>126</v>
      </c>
      <c r="C57" s="19" t="s">
        <v>127</v>
      </c>
      <c r="D57" s="20">
        <v>2407</v>
      </c>
      <c r="E57" s="19">
        <f>VLOOKUP(A57,Sheet2!$E$7:$F$54,2,0)</f>
        <v>5</v>
      </c>
      <c r="F57" s="19">
        <v>2</v>
      </c>
      <c r="G57" s="13">
        <v>0</v>
      </c>
      <c r="I57" s="13">
        <v>1</v>
      </c>
      <c r="K57" s="10">
        <v>0</v>
      </c>
      <c r="L57" s="19">
        <v>90</v>
      </c>
      <c r="M57" s="19">
        <v>100</v>
      </c>
      <c r="N57" s="19" t="s">
        <v>114</v>
      </c>
      <c r="O57" s="4"/>
      <c r="P57" s="12">
        <v>0</v>
      </c>
    </row>
    <row r="58" spans="1:17" ht="15.75" x14ac:dyDescent="0.3">
      <c r="A58" s="6">
        <v>2408</v>
      </c>
      <c r="B58" s="18" t="s">
        <v>128</v>
      </c>
      <c r="C58" s="19" t="s">
        <v>129</v>
      </c>
      <c r="D58" s="20">
        <v>2408</v>
      </c>
      <c r="E58" s="19">
        <f>VLOOKUP(A58,Sheet2!$E$7:$F$54,2,0)</f>
        <v>5</v>
      </c>
      <c r="F58" s="19">
        <v>2</v>
      </c>
      <c r="G58" s="13">
        <v>0</v>
      </c>
      <c r="I58" s="13">
        <v>1</v>
      </c>
      <c r="K58" s="10">
        <v>0</v>
      </c>
      <c r="L58" s="19">
        <v>90</v>
      </c>
      <c r="M58" s="19">
        <v>100</v>
      </c>
      <c r="N58" s="19" t="s">
        <v>130</v>
      </c>
      <c r="O58" s="4" t="s">
        <v>131</v>
      </c>
      <c r="P58" s="12">
        <v>0</v>
      </c>
    </row>
    <row r="59" spans="1:17" ht="15.75" x14ac:dyDescent="0.3">
      <c r="A59" s="6">
        <v>2409</v>
      </c>
      <c r="B59" s="18" t="s">
        <v>132</v>
      </c>
      <c r="C59" s="19" t="s">
        <v>133</v>
      </c>
      <c r="D59" s="20">
        <v>2409</v>
      </c>
      <c r="E59" s="19">
        <f>VLOOKUP(A59,Sheet2!$E$7:$F$54,2,0)</f>
        <v>5</v>
      </c>
      <c r="F59" s="19">
        <v>2</v>
      </c>
      <c r="G59" s="13">
        <v>0</v>
      </c>
      <c r="I59" s="13">
        <v>1</v>
      </c>
      <c r="K59" s="10">
        <v>0</v>
      </c>
      <c r="L59" s="19">
        <v>90</v>
      </c>
      <c r="M59" s="19">
        <v>100</v>
      </c>
      <c r="N59" s="19" t="s">
        <v>134</v>
      </c>
      <c r="O59" s="4" t="s">
        <v>135</v>
      </c>
      <c r="P59" s="12">
        <v>0</v>
      </c>
    </row>
    <row r="60" spans="1:17" ht="15.75" x14ac:dyDescent="0.3">
      <c r="A60" s="6">
        <v>2410</v>
      </c>
      <c r="B60" s="18" t="s">
        <v>136</v>
      </c>
      <c r="C60" s="19" t="s">
        <v>137</v>
      </c>
      <c r="D60" s="20">
        <v>2410</v>
      </c>
      <c r="E60" s="19">
        <f>VLOOKUP(A60,Sheet2!$E$7:$F$54,2,0)</f>
        <v>5</v>
      </c>
      <c r="F60" s="19">
        <v>2</v>
      </c>
      <c r="G60" s="13">
        <v>0</v>
      </c>
      <c r="I60" s="13">
        <v>1</v>
      </c>
      <c r="K60" s="10">
        <v>0</v>
      </c>
      <c r="L60" s="19">
        <v>90</v>
      </c>
      <c r="M60" s="19">
        <v>100</v>
      </c>
      <c r="N60" s="19" t="s">
        <v>138</v>
      </c>
      <c r="O60" s="4"/>
      <c r="P60" s="12">
        <v>0</v>
      </c>
    </row>
    <row r="61" spans="1:17" ht="15.75" x14ac:dyDescent="0.3">
      <c r="A61" s="6">
        <v>2426</v>
      </c>
      <c r="B61" s="18" t="s">
        <v>139</v>
      </c>
      <c r="C61" s="19" t="s">
        <v>140</v>
      </c>
      <c r="D61" s="20">
        <v>2426</v>
      </c>
      <c r="E61" s="19">
        <f>VLOOKUP(A61,Sheet2!$E$7:$F$54,2,0)</f>
        <v>5</v>
      </c>
      <c r="F61" s="19">
        <v>2</v>
      </c>
      <c r="G61" s="13">
        <v>0</v>
      </c>
      <c r="I61" s="13">
        <v>1</v>
      </c>
      <c r="K61" s="10">
        <v>0</v>
      </c>
      <c r="L61" s="19">
        <v>90</v>
      </c>
      <c r="M61" s="19">
        <v>100</v>
      </c>
      <c r="N61" s="19" t="s">
        <v>141</v>
      </c>
      <c r="O61" s="4" t="s">
        <v>142</v>
      </c>
      <c r="P61" s="12">
        <v>0</v>
      </c>
    </row>
    <row r="62" spans="1:17" ht="15.75" x14ac:dyDescent="0.3">
      <c r="A62" s="6">
        <v>2418</v>
      </c>
      <c r="B62" s="18" t="s">
        <v>143</v>
      </c>
      <c r="C62" s="19" t="s">
        <v>144</v>
      </c>
      <c r="D62" s="20">
        <v>2418</v>
      </c>
      <c r="E62" s="19">
        <f>VLOOKUP(A62,Sheet2!$E$7:$F$54,2,0)</f>
        <v>6</v>
      </c>
      <c r="F62" s="19">
        <v>2</v>
      </c>
      <c r="G62" s="13">
        <v>0</v>
      </c>
      <c r="I62" s="13">
        <v>1</v>
      </c>
      <c r="K62" s="10">
        <v>0</v>
      </c>
      <c r="L62" s="19">
        <v>90</v>
      </c>
      <c r="M62" s="19">
        <v>100</v>
      </c>
      <c r="N62" s="19" t="s">
        <v>117</v>
      </c>
      <c r="O62" s="4"/>
      <c r="P62" s="12">
        <v>0</v>
      </c>
    </row>
    <row r="63" spans="1:17" ht="15.75" x14ac:dyDescent="0.3">
      <c r="A63" s="6">
        <v>2419</v>
      </c>
      <c r="B63" s="18" t="s">
        <v>145</v>
      </c>
      <c r="C63" s="19" t="s">
        <v>146</v>
      </c>
      <c r="D63" s="20">
        <v>2419</v>
      </c>
      <c r="E63" s="19">
        <f>VLOOKUP(A63,Sheet2!$E$7:$F$54,2,0)</f>
        <v>6</v>
      </c>
      <c r="F63" s="19">
        <v>2</v>
      </c>
      <c r="G63" s="13">
        <v>0</v>
      </c>
      <c r="I63" s="13">
        <v>1</v>
      </c>
      <c r="K63" s="10">
        <v>0</v>
      </c>
      <c r="L63" s="19">
        <v>90</v>
      </c>
      <c r="M63" s="19">
        <v>100</v>
      </c>
      <c r="N63" s="19" t="s">
        <v>147</v>
      </c>
      <c r="O63" s="4" t="s">
        <v>148</v>
      </c>
      <c r="P63" s="12">
        <v>0</v>
      </c>
    </row>
    <row r="64" spans="1:17" ht="15.75" x14ac:dyDescent="0.3">
      <c r="A64" s="6">
        <v>2420</v>
      </c>
      <c r="B64" s="18" t="s">
        <v>149</v>
      </c>
      <c r="C64" s="19" t="s">
        <v>150</v>
      </c>
      <c r="D64" s="20">
        <v>2420</v>
      </c>
      <c r="E64" s="19">
        <f>VLOOKUP(A64,Sheet2!$E$7:$F$54,2,0)</f>
        <v>6</v>
      </c>
      <c r="F64" s="19">
        <v>2</v>
      </c>
      <c r="G64" s="13">
        <v>0</v>
      </c>
      <c r="I64" s="13">
        <v>1</v>
      </c>
      <c r="K64" s="10">
        <v>0</v>
      </c>
      <c r="L64" s="19">
        <v>90</v>
      </c>
      <c r="M64" s="19">
        <v>100</v>
      </c>
      <c r="N64" s="19" t="s">
        <v>151</v>
      </c>
      <c r="O64" s="4" t="s">
        <v>131</v>
      </c>
      <c r="P64" s="12">
        <v>0</v>
      </c>
    </row>
    <row r="65" spans="1:16" ht="15.75" x14ac:dyDescent="0.3">
      <c r="A65" s="6">
        <v>2421</v>
      </c>
      <c r="B65" s="18" t="s">
        <v>152</v>
      </c>
      <c r="C65" s="19" t="s">
        <v>153</v>
      </c>
      <c r="D65" s="20">
        <v>2421</v>
      </c>
      <c r="E65" s="19">
        <f>VLOOKUP(A65,Sheet2!$E$7:$F$54,2,0)</f>
        <v>6</v>
      </c>
      <c r="F65" s="19">
        <v>2</v>
      </c>
      <c r="G65" s="13">
        <v>0</v>
      </c>
      <c r="I65" s="13">
        <v>1</v>
      </c>
      <c r="K65" s="10">
        <v>0</v>
      </c>
      <c r="L65" s="19">
        <v>90</v>
      </c>
      <c r="M65" s="19">
        <v>100</v>
      </c>
      <c r="N65" s="19" t="s">
        <v>117</v>
      </c>
      <c r="O65" s="4"/>
      <c r="P65" s="12">
        <v>0</v>
      </c>
    </row>
    <row r="66" spans="1:16" ht="15.75" x14ac:dyDescent="0.3">
      <c r="A66" s="6">
        <v>2422</v>
      </c>
      <c r="B66" s="18" t="s">
        <v>154</v>
      </c>
      <c r="C66" s="19" t="s">
        <v>155</v>
      </c>
      <c r="D66" s="20">
        <v>2422</v>
      </c>
      <c r="E66" s="19">
        <f>VLOOKUP(A66,Sheet2!$E$7:$F$54,2,0)</f>
        <v>6</v>
      </c>
      <c r="F66" s="19">
        <v>2</v>
      </c>
      <c r="G66" s="13">
        <v>0</v>
      </c>
      <c r="I66" s="13">
        <v>1</v>
      </c>
      <c r="K66" s="10">
        <v>0</v>
      </c>
      <c r="L66" s="19">
        <v>90</v>
      </c>
      <c r="M66" s="19">
        <v>100</v>
      </c>
      <c r="N66" s="19" t="s">
        <v>141</v>
      </c>
      <c r="O66" s="4" t="s">
        <v>142</v>
      </c>
      <c r="P66" s="12">
        <v>0</v>
      </c>
    </row>
    <row r="67" spans="1:16" ht="15.75" x14ac:dyDescent="0.3">
      <c r="A67" s="6">
        <v>2414</v>
      </c>
      <c r="B67" s="18" t="s">
        <v>156</v>
      </c>
      <c r="C67" s="19" t="s">
        <v>157</v>
      </c>
      <c r="D67" s="20">
        <v>2414</v>
      </c>
      <c r="E67" s="19">
        <f>VLOOKUP(A67,Sheet2!$E$7:$F$54,2,0)</f>
        <v>5</v>
      </c>
      <c r="F67" s="19">
        <v>2</v>
      </c>
      <c r="G67" s="13">
        <v>0</v>
      </c>
      <c r="I67" s="13">
        <v>1</v>
      </c>
      <c r="K67" s="10">
        <v>0</v>
      </c>
      <c r="L67" s="19">
        <v>90</v>
      </c>
      <c r="M67" s="19">
        <v>100</v>
      </c>
      <c r="N67" s="19" t="s">
        <v>141</v>
      </c>
      <c r="O67" s="4" t="s">
        <v>142</v>
      </c>
      <c r="P67" s="12">
        <v>0</v>
      </c>
    </row>
    <row r="68" spans="1:16" ht="15.75" x14ac:dyDescent="0.3">
      <c r="A68" s="6">
        <v>2411</v>
      </c>
      <c r="B68" s="18" t="s">
        <v>158</v>
      </c>
      <c r="C68" s="19" t="s">
        <v>159</v>
      </c>
      <c r="D68" s="20">
        <v>2411</v>
      </c>
      <c r="E68" s="19">
        <f>VLOOKUP(A68,Sheet2!$E$7:$F$54,2,0)</f>
        <v>5</v>
      </c>
      <c r="F68" s="19">
        <v>2</v>
      </c>
      <c r="G68" s="13">
        <v>0</v>
      </c>
      <c r="I68" s="13">
        <v>1</v>
      </c>
      <c r="K68" s="10">
        <v>0</v>
      </c>
      <c r="L68" s="19">
        <v>90</v>
      </c>
      <c r="M68" s="19">
        <v>100</v>
      </c>
      <c r="N68" s="19" t="s">
        <v>141</v>
      </c>
      <c r="O68" s="4" t="s">
        <v>142</v>
      </c>
      <c r="P68" s="12">
        <v>0</v>
      </c>
    </row>
    <row r="69" spans="1:16" ht="15.75" x14ac:dyDescent="0.3">
      <c r="A69" s="6">
        <v>2412</v>
      </c>
      <c r="B69" s="18" t="s">
        <v>160</v>
      </c>
      <c r="C69" s="19" t="s">
        <v>161</v>
      </c>
      <c r="D69" s="20">
        <v>2412</v>
      </c>
      <c r="E69" s="19">
        <f>VLOOKUP(A69,Sheet2!$E$7:$F$54,2,0)</f>
        <v>5</v>
      </c>
      <c r="F69" s="19">
        <v>2</v>
      </c>
      <c r="G69" s="13">
        <v>0</v>
      </c>
      <c r="I69" s="13">
        <v>1</v>
      </c>
      <c r="K69" s="10">
        <v>0</v>
      </c>
      <c r="L69" s="19">
        <v>90</v>
      </c>
      <c r="M69" s="19">
        <v>100</v>
      </c>
      <c r="N69" s="19" t="s">
        <v>117</v>
      </c>
      <c r="O69" s="4"/>
      <c r="P69" s="12">
        <v>0</v>
      </c>
    </row>
    <row r="70" spans="1:16" ht="15.75" x14ac:dyDescent="0.3">
      <c r="A70" s="6">
        <v>2413</v>
      </c>
      <c r="B70" s="18" t="s">
        <v>162</v>
      </c>
      <c r="C70" s="19" t="s">
        <v>163</v>
      </c>
      <c r="D70" s="20">
        <v>2413</v>
      </c>
      <c r="E70" s="19">
        <f>VLOOKUP(A70,Sheet2!$E$7:$F$54,2,0)</f>
        <v>5</v>
      </c>
      <c r="F70" s="19">
        <v>2</v>
      </c>
      <c r="G70" s="13">
        <v>0</v>
      </c>
      <c r="I70" s="13">
        <v>1</v>
      </c>
      <c r="K70" s="10">
        <v>0</v>
      </c>
      <c r="L70" s="19">
        <v>90</v>
      </c>
      <c r="M70" s="19">
        <v>100</v>
      </c>
      <c r="N70" s="19" t="s">
        <v>141</v>
      </c>
      <c r="O70" s="4" t="s">
        <v>142</v>
      </c>
      <c r="P70" s="12">
        <v>0</v>
      </c>
    </row>
    <row r="71" spans="1:16" ht="15.75" x14ac:dyDescent="0.3">
      <c r="A71" s="6">
        <v>2423</v>
      </c>
      <c r="B71" s="18" t="s">
        <v>164</v>
      </c>
      <c r="C71" s="19" t="s">
        <v>165</v>
      </c>
      <c r="D71" s="20">
        <v>2423</v>
      </c>
      <c r="E71" s="19">
        <f>VLOOKUP(A71,Sheet2!$E$7:$F$54,2,0)</f>
        <v>6</v>
      </c>
      <c r="F71" s="19">
        <v>2</v>
      </c>
      <c r="G71" s="13">
        <v>0</v>
      </c>
      <c r="I71" s="13">
        <v>1</v>
      </c>
      <c r="K71" s="10">
        <v>0</v>
      </c>
      <c r="L71" s="19">
        <v>90</v>
      </c>
      <c r="M71" s="19">
        <v>100</v>
      </c>
      <c r="N71" s="19" t="s">
        <v>166</v>
      </c>
      <c r="O71" s="4" t="s">
        <v>131</v>
      </c>
      <c r="P71" s="12">
        <v>0</v>
      </c>
    </row>
    <row r="72" spans="1:16" ht="15.75" x14ac:dyDescent="0.3">
      <c r="A72" s="6">
        <v>2425</v>
      </c>
      <c r="B72" s="18" t="s">
        <v>167</v>
      </c>
      <c r="C72" s="19" t="s">
        <v>168</v>
      </c>
      <c r="D72" s="20">
        <v>2425</v>
      </c>
      <c r="E72" s="19">
        <f>VLOOKUP(A72,Sheet2!$E$7:$F$54,2,0)</f>
        <v>5</v>
      </c>
      <c r="F72" s="19">
        <v>2</v>
      </c>
      <c r="G72" s="13">
        <v>0</v>
      </c>
      <c r="I72" s="13">
        <v>1</v>
      </c>
      <c r="K72" s="10">
        <v>0</v>
      </c>
      <c r="L72" s="19">
        <v>90</v>
      </c>
      <c r="M72" s="19">
        <v>100</v>
      </c>
      <c r="N72" s="19" t="s">
        <v>134</v>
      </c>
      <c r="O72" s="4" t="s">
        <v>135</v>
      </c>
      <c r="P72" s="12">
        <v>0</v>
      </c>
    </row>
    <row r="73" spans="1:16" ht="15.75" x14ac:dyDescent="0.3">
      <c r="A73" s="6">
        <v>2430</v>
      </c>
      <c r="B73" s="18" t="s">
        <v>169</v>
      </c>
      <c r="C73" s="19" t="s">
        <v>170</v>
      </c>
      <c r="D73" s="20">
        <v>2430</v>
      </c>
      <c r="E73" s="19">
        <f>VLOOKUP(A73,Sheet2!$E$7:$F$54,2,0)</f>
        <v>5</v>
      </c>
      <c r="F73" s="19">
        <v>2</v>
      </c>
      <c r="G73" s="13">
        <v>0</v>
      </c>
      <c r="I73" s="13">
        <v>1</v>
      </c>
      <c r="K73" s="10">
        <v>0</v>
      </c>
      <c r="L73" s="19">
        <v>90</v>
      </c>
      <c r="M73" s="19">
        <v>100</v>
      </c>
      <c r="N73" s="19" t="s">
        <v>171</v>
      </c>
      <c r="O73" s="4"/>
      <c r="P73" s="12">
        <v>0</v>
      </c>
    </row>
    <row r="74" spans="1:16" ht="15.75" x14ac:dyDescent="0.3">
      <c r="A74" s="6">
        <v>2415</v>
      </c>
      <c r="B74" s="18" t="s">
        <v>172</v>
      </c>
      <c r="C74" s="19" t="s">
        <v>173</v>
      </c>
      <c r="D74" s="20">
        <v>2415</v>
      </c>
      <c r="E74" s="19">
        <f>VLOOKUP(A74,Sheet2!$E$7:$F$54,2,0)</f>
        <v>5</v>
      </c>
      <c r="F74" s="19">
        <v>2</v>
      </c>
      <c r="G74" s="13">
        <v>0</v>
      </c>
      <c r="I74" s="13">
        <v>1</v>
      </c>
      <c r="K74" s="10">
        <v>0</v>
      </c>
      <c r="L74" s="19">
        <v>90</v>
      </c>
      <c r="M74" s="19">
        <v>100</v>
      </c>
      <c r="N74" s="19" t="s">
        <v>141</v>
      </c>
      <c r="O74" s="4" t="s">
        <v>142</v>
      </c>
      <c r="P74" s="12">
        <v>0</v>
      </c>
    </row>
    <row r="75" spans="1:16" ht="15.75" x14ac:dyDescent="0.3">
      <c r="A75" s="6">
        <v>2416</v>
      </c>
      <c r="B75" s="18" t="s">
        <v>174</v>
      </c>
      <c r="C75" s="19" t="s">
        <v>175</v>
      </c>
      <c r="D75" s="20">
        <v>2416</v>
      </c>
      <c r="E75" s="19">
        <f>VLOOKUP(A75,Sheet2!$E$7:$F$54,2,0)</f>
        <v>5</v>
      </c>
      <c r="F75" s="19">
        <v>2</v>
      </c>
      <c r="G75" s="13">
        <v>0</v>
      </c>
      <c r="I75" s="13">
        <v>1</v>
      </c>
      <c r="K75" s="10">
        <v>0</v>
      </c>
      <c r="L75" s="19">
        <v>90</v>
      </c>
      <c r="M75" s="19">
        <v>100</v>
      </c>
      <c r="N75" s="19" t="s">
        <v>141</v>
      </c>
      <c r="O75" s="4" t="s">
        <v>142</v>
      </c>
      <c r="P75" s="12">
        <v>0</v>
      </c>
    </row>
    <row r="76" spans="1:16" ht="15.75" x14ac:dyDescent="0.3">
      <c r="A76" s="6">
        <v>2417</v>
      </c>
      <c r="B76" s="18" t="s">
        <v>176</v>
      </c>
      <c r="C76" s="19" t="s">
        <v>177</v>
      </c>
      <c r="D76" s="20">
        <v>2417</v>
      </c>
      <c r="E76" s="19">
        <f>VLOOKUP(A76,Sheet2!$E$7:$F$54,2,0)</f>
        <v>5</v>
      </c>
      <c r="F76" s="19">
        <v>2</v>
      </c>
      <c r="G76" s="13">
        <v>0</v>
      </c>
      <c r="I76" s="13">
        <v>1</v>
      </c>
      <c r="K76" s="10">
        <v>0</v>
      </c>
      <c r="L76" s="19">
        <v>90</v>
      </c>
      <c r="M76" s="19">
        <v>100</v>
      </c>
      <c r="N76" s="19" t="s">
        <v>141</v>
      </c>
      <c r="O76" s="4" t="s">
        <v>142</v>
      </c>
      <c r="P76" s="12">
        <v>0</v>
      </c>
    </row>
    <row r="77" spans="1:16" ht="15.75" x14ac:dyDescent="0.3">
      <c r="A77" s="6">
        <v>2424</v>
      </c>
      <c r="B77" s="18" t="s">
        <v>178</v>
      </c>
      <c r="C77" s="19" t="s">
        <v>179</v>
      </c>
      <c r="D77" s="20">
        <v>2424</v>
      </c>
      <c r="E77" s="19">
        <f>VLOOKUP(A77,Sheet2!$E$7:$F$54,2,0)</f>
        <v>5</v>
      </c>
      <c r="F77" s="19">
        <v>2</v>
      </c>
      <c r="G77" s="13">
        <v>0</v>
      </c>
      <c r="I77" s="13">
        <v>1</v>
      </c>
      <c r="K77" s="10">
        <v>0</v>
      </c>
      <c r="L77" s="19">
        <v>90</v>
      </c>
      <c r="M77" s="19">
        <v>100</v>
      </c>
      <c r="N77" s="19" t="s">
        <v>180</v>
      </c>
      <c r="O77" s="4" t="s">
        <v>131</v>
      </c>
      <c r="P77" s="12">
        <v>0</v>
      </c>
    </row>
    <row r="78" spans="1:16" ht="15.75" x14ac:dyDescent="0.3">
      <c r="A78" s="6">
        <v>2428</v>
      </c>
      <c r="B78" s="18" t="s">
        <v>181</v>
      </c>
      <c r="C78" s="19" t="s">
        <v>182</v>
      </c>
      <c r="D78" s="20">
        <v>2428</v>
      </c>
      <c r="E78" s="19">
        <f>VLOOKUP(A78,Sheet2!$E$7:$F$54,2,0)</f>
        <v>5</v>
      </c>
      <c r="F78" s="19">
        <v>2</v>
      </c>
      <c r="G78" s="13">
        <v>0</v>
      </c>
      <c r="I78" s="13">
        <v>1</v>
      </c>
      <c r="K78" s="10">
        <v>0</v>
      </c>
      <c r="L78" s="19">
        <v>90</v>
      </c>
      <c r="M78" s="19">
        <v>100</v>
      </c>
      <c r="N78" s="19" t="s">
        <v>147</v>
      </c>
      <c r="O78" s="4" t="s">
        <v>148</v>
      </c>
      <c r="P78" s="12">
        <v>0</v>
      </c>
    </row>
    <row r="79" spans="1:16" ht="15.75" x14ac:dyDescent="0.3">
      <c r="A79" s="6">
        <v>2433</v>
      </c>
      <c r="B79" s="18" t="s">
        <v>183</v>
      </c>
      <c r="C79" s="19" t="s">
        <v>184</v>
      </c>
      <c r="D79" s="20">
        <v>2433</v>
      </c>
      <c r="E79" s="19">
        <f>VLOOKUP(A79,Sheet2!$E$7:$F$54,2,0)</f>
        <v>5</v>
      </c>
      <c r="F79" s="19">
        <v>2</v>
      </c>
      <c r="G79" s="13">
        <v>0</v>
      </c>
      <c r="I79" s="13">
        <v>1</v>
      </c>
      <c r="K79" s="10">
        <v>0</v>
      </c>
      <c r="L79" s="19">
        <v>90</v>
      </c>
      <c r="M79" s="19">
        <v>100</v>
      </c>
      <c r="N79" s="19" t="s">
        <v>141</v>
      </c>
      <c r="O79" s="4" t="s">
        <v>142</v>
      </c>
      <c r="P79" s="12">
        <v>0</v>
      </c>
    </row>
    <row r="80" spans="1:16" ht="15.75" x14ac:dyDescent="0.3">
      <c r="A80" s="6">
        <v>2431</v>
      </c>
      <c r="B80" s="18" t="s">
        <v>185</v>
      </c>
      <c r="C80" s="19" t="s">
        <v>186</v>
      </c>
      <c r="D80" s="20">
        <v>2431</v>
      </c>
      <c r="E80" s="19">
        <f>VLOOKUP(A80,Sheet2!$E$7:$F$54,2,0)</f>
        <v>5</v>
      </c>
      <c r="F80" s="19">
        <v>2</v>
      </c>
      <c r="G80" s="13">
        <v>0</v>
      </c>
      <c r="I80" s="13">
        <v>1</v>
      </c>
      <c r="K80" s="10">
        <v>0</v>
      </c>
      <c r="L80" s="19">
        <v>90</v>
      </c>
      <c r="M80" s="19">
        <v>100</v>
      </c>
      <c r="N80" s="19" t="s">
        <v>141</v>
      </c>
      <c r="O80" s="4" t="s">
        <v>142</v>
      </c>
      <c r="P80" s="12">
        <v>0</v>
      </c>
    </row>
    <row r="81" spans="1:16" ht="15.75" x14ac:dyDescent="0.3">
      <c r="A81" s="6">
        <v>2432</v>
      </c>
      <c r="B81" s="18" t="s">
        <v>187</v>
      </c>
      <c r="C81" s="19" t="s">
        <v>188</v>
      </c>
      <c r="D81" s="20">
        <v>2432</v>
      </c>
      <c r="E81" s="19">
        <f>VLOOKUP(A81,Sheet2!$E$7:$F$54,2,0)</f>
        <v>5</v>
      </c>
      <c r="F81" s="19">
        <v>2</v>
      </c>
      <c r="G81" s="13">
        <v>0</v>
      </c>
      <c r="I81" s="13">
        <v>1</v>
      </c>
      <c r="K81" s="10">
        <v>0</v>
      </c>
      <c r="L81" s="19">
        <v>90</v>
      </c>
      <c r="M81" s="19">
        <v>100</v>
      </c>
      <c r="N81" s="19" t="s">
        <v>141</v>
      </c>
      <c r="O81" s="4" t="s">
        <v>142</v>
      </c>
      <c r="P81" s="12">
        <v>0</v>
      </c>
    </row>
    <row r="82" spans="1:16" ht="15.75" x14ac:dyDescent="0.3">
      <c r="A82" s="6">
        <v>2434</v>
      </c>
      <c r="B82" s="18" t="s">
        <v>189</v>
      </c>
      <c r="C82" s="19" t="s">
        <v>190</v>
      </c>
      <c r="D82" s="20">
        <v>2434</v>
      </c>
      <c r="E82" s="19">
        <f>VLOOKUP(A82,Sheet2!$E$7:$F$54,2,0)</f>
        <v>5</v>
      </c>
      <c r="F82" s="19">
        <v>2</v>
      </c>
      <c r="G82" s="13">
        <v>0</v>
      </c>
      <c r="I82" s="13">
        <v>1</v>
      </c>
      <c r="K82" s="10">
        <v>0</v>
      </c>
      <c r="L82" s="19">
        <v>90</v>
      </c>
      <c r="M82" s="19">
        <v>100</v>
      </c>
      <c r="N82" s="19" t="s">
        <v>134</v>
      </c>
      <c r="O82" s="4" t="s">
        <v>135</v>
      </c>
      <c r="P82" s="12">
        <v>0</v>
      </c>
    </row>
    <row r="83" spans="1:16" ht="15.75" x14ac:dyDescent="0.3">
      <c r="A83" s="6">
        <v>2435</v>
      </c>
      <c r="B83" s="18" t="s">
        <v>191</v>
      </c>
      <c r="C83" s="19" t="s">
        <v>192</v>
      </c>
      <c r="D83" s="20">
        <v>2435</v>
      </c>
      <c r="E83" s="19">
        <f>VLOOKUP(A83,Sheet2!$E$7:$F$54,2,0)</f>
        <v>5</v>
      </c>
      <c r="F83" s="19">
        <v>2</v>
      </c>
      <c r="G83" s="13">
        <v>0</v>
      </c>
      <c r="I83" s="13">
        <v>1</v>
      </c>
      <c r="K83" s="10">
        <v>0</v>
      </c>
      <c r="L83" s="19">
        <v>90</v>
      </c>
      <c r="M83" s="19">
        <v>100</v>
      </c>
      <c r="N83" s="19" t="s">
        <v>141</v>
      </c>
      <c r="O83" s="4" t="s">
        <v>142</v>
      </c>
      <c r="P83" s="12">
        <v>0</v>
      </c>
    </row>
    <row r="84" spans="1:16" ht="15.75" x14ac:dyDescent="0.3">
      <c r="A84" s="6">
        <v>2436</v>
      </c>
      <c r="B84" s="18" t="s">
        <v>193</v>
      </c>
      <c r="C84" s="19" t="s">
        <v>194</v>
      </c>
      <c r="D84" s="20">
        <v>2436</v>
      </c>
      <c r="E84" s="19">
        <f>VLOOKUP(A84,Sheet2!$E$7:$F$54,2,0)</f>
        <v>5</v>
      </c>
      <c r="F84" s="19">
        <v>2</v>
      </c>
      <c r="G84" s="13">
        <v>0</v>
      </c>
      <c r="I84" s="13">
        <v>1</v>
      </c>
      <c r="K84" s="10">
        <v>0</v>
      </c>
      <c r="L84" s="19">
        <v>90</v>
      </c>
      <c r="M84" s="19">
        <v>100</v>
      </c>
      <c r="N84" s="19" t="s">
        <v>114</v>
      </c>
      <c r="O84" s="4" t="s">
        <v>142</v>
      </c>
      <c r="P84" s="12">
        <v>0</v>
      </c>
    </row>
    <row r="85" spans="1:16" ht="15.75" x14ac:dyDescent="0.3">
      <c r="A85" s="6">
        <v>2437</v>
      </c>
      <c r="B85" s="18" t="s">
        <v>195</v>
      </c>
      <c r="C85" s="19" t="s">
        <v>196</v>
      </c>
      <c r="D85" s="20">
        <v>2437</v>
      </c>
      <c r="E85" s="19">
        <f>VLOOKUP(A85,Sheet2!$E$7:$F$54,2,0)</f>
        <v>5</v>
      </c>
      <c r="F85" s="19">
        <v>2</v>
      </c>
      <c r="G85" s="13">
        <v>0</v>
      </c>
      <c r="I85" s="13">
        <v>1</v>
      </c>
      <c r="K85" s="10">
        <v>0</v>
      </c>
      <c r="L85" s="19">
        <v>90</v>
      </c>
      <c r="M85" s="19">
        <v>100</v>
      </c>
      <c r="N85" s="19" t="s">
        <v>141</v>
      </c>
      <c r="O85" s="4" t="s">
        <v>142</v>
      </c>
      <c r="P85" s="12">
        <v>0</v>
      </c>
    </row>
    <row r="86" spans="1:16" ht="15.75" x14ac:dyDescent="0.3">
      <c r="A86" s="6">
        <v>2438</v>
      </c>
      <c r="B86" s="18" t="s">
        <v>197</v>
      </c>
      <c r="C86" s="19" t="s">
        <v>198</v>
      </c>
      <c r="D86" s="20">
        <v>2438</v>
      </c>
      <c r="E86" s="19">
        <f>VLOOKUP(A86,Sheet2!$E$7:$F$54,2,0)</f>
        <v>5</v>
      </c>
      <c r="F86" s="19">
        <v>2</v>
      </c>
      <c r="G86" s="13">
        <v>0</v>
      </c>
      <c r="I86" s="13">
        <v>1</v>
      </c>
      <c r="K86" s="10">
        <v>0</v>
      </c>
      <c r="L86" s="19">
        <v>90</v>
      </c>
      <c r="M86" s="19">
        <v>100</v>
      </c>
      <c r="N86" s="19" t="s">
        <v>199</v>
      </c>
      <c r="O86" s="4" t="s">
        <v>131</v>
      </c>
      <c r="P86" s="12">
        <v>0</v>
      </c>
    </row>
    <row r="87" spans="1:16" ht="15.75" x14ac:dyDescent="0.3">
      <c r="A87" s="6">
        <v>2440</v>
      </c>
      <c r="B87" s="18" t="s">
        <v>200</v>
      </c>
      <c r="C87" s="19" t="s">
        <v>201</v>
      </c>
      <c r="D87" s="20">
        <v>2427</v>
      </c>
      <c r="E87" s="19">
        <f>VLOOKUP(A87,Sheet2!$E$7:$F$54,2,0)</f>
        <v>5</v>
      </c>
      <c r="F87" s="19">
        <v>2</v>
      </c>
      <c r="G87" s="13">
        <v>0</v>
      </c>
      <c r="I87" s="13">
        <v>1</v>
      </c>
      <c r="K87" s="10">
        <v>0</v>
      </c>
      <c r="L87" s="19">
        <v>90</v>
      </c>
      <c r="M87" s="19">
        <v>100</v>
      </c>
      <c r="N87" s="19" t="s">
        <v>141</v>
      </c>
      <c r="O87" s="4" t="s">
        <v>142</v>
      </c>
      <c r="P87" s="12">
        <v>0</v>
      </c>
    </row>
    <row r="88" spans="1:16" ht="15.75" x14ac:dyDescent="0.3">
      <c r="A88" s="6">
        <v>2427</v>
      </c>
      <c r="B88" s="18" t="s">
        <v>202</v>
      </c>
      <c r="C88" s="19" t="s">
        <v>203</v>
      </c>
      <c r="D88" s="20">
        <v>2440</v>
      </c>
      <c r="E88" s="19">
        <f>VLOOKUP(A88,Sheet2!$E$7:$F$54,2,0)</f>
        <v>4</v>
      </c>
      <c r="F88" s="19">
        <v>2</v>
      </c>
      <c r="G88" s="13">
        <v>0</v>
      </c>
      <c r="I88" s="13">
        <v>1</v>
      </c>
      <c r="K88" s="10">
        <v>0</v>
      </c>
      <c r="L88" s="19">
        <v>90</v>
      </c>
      <c r="M88" s="19">
        <v>100</v>
      </c>
      <c r="N88" s="19" t="s">
        <v>141</v>
      </c>
      <c r="O88" s="4" t="s">
        <v>142</v>
      </c>
      <c r="P88" s="12">
        <v>0</v>
      </c>
    </row>
    <row r="89" spans="1:16" ht="15.75" x14ac:dyDescent="0.3">
      <c r="A89" s="6">
        <v>2429</v>
      </c>
      <c r="B89" s="18" t="s">
        <v>204</v>
      </c>
      <c r="C89" s="19" t="s">
        <v>205</v>
      </c>
      <c r="D89" s="20">
        <v>2429</v>
      </c>
      <c r="E89" s="19">
        <f>VLOOKUP(A89,Sheet2!$E$7:$F$54,2,0)</f>
        <v>5</v>
      </c>
      <c r="F89" s="19">
        <v>2</v>
      </c>
      <c r="G89" s="13">
        <v>0</v>
      </c>
      <c r="I89" s="13">
        <v>1</v>
      </c>
      <c r="K89" s="10">
        <v>0</v>
      </c>
      <c r="L89" s="19">
        <v>90</v>
      </c>
      <c r="M89" s="19">
        <v>100</v>
      </c>
      <c r="N89" s="19" t="s">
        <v>141</v>
      </c>
      <c r="O89" s="4" t="s">
        <v>142</v>
      </c>
      <c r="P89" s="12">
        <v>0</v>
      </c>
    </row>
    <row r="90" spans="1:16" ht="15.75" x14ac:dyDescent="0.3">
      <c r="A90" s="6">
        <v>2439</v>
      </c>
      <c r="B90" s="18" t="s">
        <v>206</v>
      </c>
      <c r="C90" s="19" t="s">
        <v>207</v>
      </c>
      <c r="D90" s="20">
        <v>2439</v>
      </c>
      <c r="E90" s="19">
        <f>VLOOKUP(A90,Sheet2!$E$7:$F$54,2,0)</f>
        <v>4</v>
      </c>
      <c r="F90" s="19">
        <v>2</v>
      </c>
      <c r="G90" s="13">
        <v>0</v>
      </c>
      <c r="I90" s="13">
        <v>1</v>
      </c>
      <c r="K90" s="10">
        <v>0</v>
      </c>
      <c r="L90" s="19">
        <v>90</v>
      </c>
      <c r="M90" s="19">
        <v>100</v>
      </c>
      <c r="N90" s="19" t="s">
        <v>141</v>
      </c>
      <c r="O90" s="4" t="s">
        <v>142</v>
      </c>
      <c r="P90" s="12">
        <v>0</v>
      </c>
    </row>
    <row r="91" spans="1:16" ht="14.25" x14ac:dyDescent="0.15">
      <c r="A91" s="6">
        <v>2450</v>
      </c>
      <c r="B91" s="18" t="s">
        <v>208</v>
      </c>
      <c r="C91" s="19" t="s">
        <v>209</v>
      </c>
      <c r="D91" s="19">
        <v>2447</v>
      </c>
      <c r="E91" s="19">
        <f>VLOOKUP(A91,Sheet2!$E$7:$F$54,2,0)</f>
        <v>4</v>
      </c>
      <c r="F91" s="19">
        <v>2</v>
      </c>
      <c r="G91" s="13">
        <v>0</v>
      </c>
      <c r="I91" s="13">
        <v>1</v>
      </c>
      <c r="K91" s="10">
        <v>0</v>
      </c>
      <c r="L91" s="19">
        <v>90</v>
      </c>
      <c r="M91" s="19">
        <v>100</v>
      </c>
      <c r="N91" s="19" t="s">
        <v>141</v>
      </c>
      <c r="O91" s="4" t="s">
        <v>142</v>
      </c>
      <c r="P91" s="12">
        <v>0</v>
      </c>
    </row>
    <row r="92" spans="1:16" ht="14.25" x14ac:dyDescent="0.15">
      <c r="A92" s="6">
        <v>2453</v>
      </c>
      <c r="B92" s="18" t="s">
        <v>210</v>
      </c>
      <c r="C92" s="19" t="s">
        <v>211</v>
      </c>
      <c r="D92" s="19">
        <v>2458</v>
      </c>
      <c r="E92" s="19">
        <f>VLOOKUP(A92,Sheet2!$E$7:$F$54,2,0)</f>
        <v>5</v>
      </c>
      <c r="F92" s="19">
        <v>2</v>
      </c>
      <c r="G92" s="13">
        <v>0</v>
      </c>
      <c r="I92" s="13">
        <v>1</v>
      </c>
      <c r="K92" s="10">
        <v>0</v>
      </c>
      <c r="L92" s="19">
        <v>90</v>
      </c>
      <c r="M92" s="19">
        <v>100</v>
      </c>
      <c r="N92" s="19" t="s">
        <v>212</v>
      </c>
      <c r="O92" s="4"/>
      <c r="P92" s="12">
        <v>0</v>
      </c>
    </row>
    <row r="93" spans="1:16" ht="14.25" x14ac:dyDescent="0.15">
      <c r="A93" s="6">
        <v>2455</v>
      </c>
      <c r="B93" s="18" t="s">
        <v>213</v>
      </c>
      <c r="C93" s="19" t="s">
        <v>214</v>
      </c>
      <c r="D93" s="19">
        <v>2455</v>
      </c>
      <c r="E93" s="19">
        <f>VLOOKUP(A93,Sheet2!$E$7:$F$54,2,0)</f>
        <v>5</v>
      </c>
      <c r="F93" s="19">
        <v>2</v>
      </c>
      <c r="G93" s="13">
        <v>0</v>
      </c>
      <c r="I93" s="13">
        <v>1</v>
      </c>
      <c r="K93" s="10">
        <v>0</v>
      </c>
      <c r="L93" s="19">
        <v>90</v>
      </c>
      <c r="M93" s="19">
        <v>100</v>
      </c>
      <c r="N93" s="19" t="s">
        <v>147</v>
      </c>
      <c r="O93" s="4" t="s">
        <v>148</v>
      </c>
      <c r="P93" s="12">
        <v>0</v>
      </c>
    </row>
    <row r="94" spans="1:16" ht="14.25" x14ac:dyDescent="0.15">
      <c r="A94" s="6">
        <v>2456</v>
      </c>
      <c r="B94" s="18" t="s">
        <v>215</v>
      </c>
      <c r="C94" s="19" t="s">
        <v>216</v>
      </c>
      <c r="D94" s="19">
        <v>2456</v>
      </c>
      <c r="E94" s="19">
        <f>VLOOKUP(A94,Sheet2!$E$7:$F$54,2,0)</f>
        <v>5</v>
      </c>
      <c r="F94" s="19">
        <v>2</v>
      </c>
      <c r="G94" s="13">
        <v>0</v>
      </c>
      <c r="I94" s="13">
        <v>1</v>
      </c>
      <c r="K94" s="10">
        <v>0</v>
      </c>
      <c r="L94" s="19">
        <v>90</v>
      </c>
      <c r="M94" s="19">
        <v>100</v>
      </c>
      <c r="N94" s="19" t="s">
        <v>141</v>
      </c>
      <c r="O94" s="4" t="s">
        <v>142</v>
      </c>
      <c r="P94" s="12">
        <v>0</v>
      </c>
    </row>
    <row r="95" spans="1:16" ht="14.25" x14ac:dyDescent="0.15">
      <c r="A95" s="6">
        <v>2457</v>
      </c>
      <c r="B95" s="18" t="s">
        <v>217</v>
      </c>
      <c r="C95" s="19" t="s">
        <v>218</v>
      </c>
      <c r="D95" s="19">
        <v>2453</v>
      </c>
      <c r="E95" s="19">
        <f>VLOOKUP(A95,Sheet2!$E$7:$F$54,2,0)</f>
        <v>4</v>
      </c>
      <c r="F95" s="19">
        <v>2</v>
      </c>
      <c r="G95" s="13">
        <v>0</v>
      </c>
      <c r="I95" s="13">
        <v>1</v>
      </c>
      <c r="K95" s="10">
        <v>0</v>
      </c>
      <c r="L95" s="19">
        <v>90</v>
      </c>
      <c r="M95" s="19">
        <v>100</v>
      </c>
      <c r="N95" s="19" t="s">
        <v>141</v>
      </c>
      <c r="O95" s="4" t="s">
        <v>142</v>
      </c>
      <c r="P95" s="12">
        <v>0</v>
      </c>
    </row>
    <row r="96" spans="1:16" ht="14.25" x14ac:dyDescent="0.15">
      <c r="A96" s="6">
        <v>2458</v>
      </c>
      <c r="B96" s="18" t="s">
        <v>219</v>
      </c>
      <c r="C96" s="19" t="s">
        <v>220</v>
      </c>
      <c r="D96" s="19">
        <v>2452</v>
      </c>
      <c r="E96" s="19">
        <f>VLOOKUP(A96,Sheet2!$E$7:$F$54,2,0)</f>
        <v>4</v>
      </c>
      <c r="F96" s="19">
        <v>2</v>
      </c>
      <c r="G96" s="13">
        <v>0</v>
      </c>
      <c r="I96" s="13">
        <v>1</v>
      </c>
      <c r="K96" s="10">
        <v>0</v>
      </c>
      <c r="L96" s="19">
        <v>90</v>
      </c>
      <c r="M96" s="19">
        <v>100</v>
      </c>
      <c r="N96" s="19" t="s">
        <v>141</v>
      </c>
      <c r="O96" s="4" t="s">
        <v>142</v>
      </c>
      <c r="P96" s="12">
        <v>0</v>
      </c>
    </row>
    <row r="97" spans="1:17" ht="14.25" x14ac:dyDescent="0.15">
      <c r="A97" s="6">
        <v>2461</v>
      </c>
      <c r="B97" s="18" t="s">
        <v>221</v>
      </c>
      <c r="C97" s="19" t="s">
        <v>222</v>
      </c>
      <c r="D97" s="19">
        <v>2461</v>
      </c>
      <c r="E97" s="19">
        <f>VLOOKUP(A97,Sheet2!$E$7:$F$54,2,0)</f>
        <v>7</v>
      </c>
      <c r="F97" s="19">
        <v>2</v>
      </c>
      <c r="G97" s="13">
        <v>0</v>
      </c>
      <c r="I97" s="13">
        <v>1</v>
      </c>
      <c r="K97" s="10">
        <v>0</v>
      </c>
      <c r="L97" s="19">
        <v>90</v>
      </c>
      <c r="M97" s="19">
        <v>100</v>
      </c>
      <c r="N97" s="19" t="s">
        <v>117</v>
      </c>
      <c r="O97" s="4"/>
      <c r="P97" s="12">
        <v>0</v>
      </c>
    </row>
    <row r="98" spans="1:17" s="6" customFormat="1" ht="14.25" x14ac:dyDescent="0.15">
      <c r="A98" s="6">
        <v>2462</v>
      </c>
      <c r="B98" s="18" t="s">
        <v>223</v>
      </c>
      <c r="C98" s="19" t="s">
        <v>224</v>
      </c>
      <c r="D98" s="19">
        <v>2462</v>
      </c>
      <c r="E98" s="19">
        <f>VLOOKUP(A98,Sheet2!$E$7:$F$54,2,0)</f>
        <v>7</v>
      </c>
      <c r="F98" s="19">
        <v>2</v>
      </c>
      <c r="G98" s="13">
        <v>0</v>
      </c>
      <c r="H98" s="11"/>
      <c r="I98" s="13">
        <v>1</v>
      </c>
      <c r="J98" s="11"/>
      <c r="K98" s="10">
        <v>0</v>
      </c>
      <c r="L98" s="19">
        <v>90</v>
      </c>
      <c r="M98" s="19">
        <v>100</v>
      </c>
      <c r="N98" s="19" t="s">
        <v>117</v>
      </c>
      <c r="O98" s="4"/>
      <c r="P98" s="12">
        <v>0</v>
      </c>
      <c r="Q98" s="12"/>
    </row>
    <row r="99" spans="1:17" ht="14.25" x14ac:dyDescent="0.15">
      <c r="A99" s="2">
        <v>2487</v>
      </c>
      <c r="B99" s="3" t="s">
        <v>225</v>
      </c>
      <c r="C99" s="4" t="s">
        <v>226</v>
      </c>
      <c r="D99" s="4">
        <v>3103</v>
      </c>
      <c r="E99" s="4">
        <v>1</v>
      </c>
      <c r="F99" s="4">
        <v>1</v>
      </c>
      <c r="G99" s="13">
        <v>0</v>
      </c>
      <c r="I99" s="13">
        <v>1</v>
      </c>
      <c r="K99" s="10">
        <v>0</v>
      </c>
      <c r="L99" s="4">
        <v>470</v>
      </c>
      <c r="M99" s="4">
        <v>100</v>
      </c>
      <c r="N99" s="4"/>
      <c r="O99" s="4"/>
      <c r="P99" s="12">
        <v>0</v>
      </c>
    </row>
    <row r="100" spans="1:17" ht="14.25" x14ac:dyDescent="0.15">
      <c r="A100" s="2">
        <v>2488</v>
      </c>
      <c r="B100" s="3" t="s">
        <v>227</v>
      </c>
      <c r="C100" s="4" t="s">
        <v>226</v>
      </c>
      <c r="D100" s="4">
        <v>3550</v>
      </c>
      <c r="E100" s="4">
        <v>1</v>
      </c>
      <c r="F100" s="4">
        <v>1</v>
      </c>
      <c r="G100" s="13">
        <v>0</v>
      </c>
      <c r="I100" s="13">
        <v>1</v>
      </c>
      <c r="K100" s="10">
        <v>0</v>
      </c>
      <c r="L100" s="4">
        <v>470</v>
      </c>
      <c r="M100" s="4">
        <v>100</v>
      </c>
      <c r="N100" s="4"/>
      <c r="O100" s="4"/>
      <c r="P100" s="12">
        <v>0</v>
      </c>
    </row>
    <row r="101" spans="1:17" ht="13.5" customHeight="1" x14ac:dyDescent="0.15">
      <c r="A101" s="2">
        <v>2489</v>
      </c>
      <c r="B101" s="3" t="s">
        <v>228</v>
      </c>
      <c r="C101" s="4" t="s">
        <v>226</v>
      </c>
      <c r="D101" s="4">
        <v>3551</v>
      </c>
      <c r="E101" s="4">
        <v>1</v>
      </c>
      <c r="F101" s="4">
        <v>1</v>
      </c>
      <c r="G101" s="13">
        <v>0</v>
      </c>
      <c r="I101" s="13">
        <v>1</v>
      </c>
      <c r="K101" s="10">
        <v>0</v>
      </c>
      <c r="L101" s="4">
        <v>470</v>
      </c>
      <c r="M101" s="4">
        <v>100</v>
      </c>
      <c r="N101" s="4"/>
      <c r="O101" s="4"/>
      <c r="P101" s="12">
        <v>0</v>
      </c>
    </row>
    <row r="102" spans="1:17" ht="14.25" x14ac:dyDescent="0.15">
      <c r="A102" s="2">
        <v>2556</v>
      </c>
      <c r="B102" s="3" t="s">
        <v>229</v>
      </c>
      <c r="C102" s="4" t="s">
        <v>230</v>
      </c>
      <c r="D102" s="4">
        <v>1002</v>
      </c>
      <c r="E102" s="4">
        <v>1</v>
      </c>
      <c r="F102" s="4">
        <v>5</v>
      </c>
      <c r="G102" s="13">
        <v>3</v>
      </c>
      <c r="I102" s="13">
        <v>1</v>
      </c>
      <c r="K102" s="10">
        <v>0</v>
      </c>
      <c r="L102" s="4">
        <v>420</v>
      </c>
      <c r="M102" s="4">
        <v>0</v>
      </c>
      <c r="N102" s="4" t="s">
        <v>231</v>
      </c>
      <c r="O102" s="4" t="s">
        <v>232</v>
      </c>
      <c r="P102" s="12">
        <v>0</v>
      </c>
    </row>
    <row r="103" spans="1:17" ht="14.25" x14ac:dyDescent="0.15">
      <c r="A103" s="2">
        <v>2557</v>
      </c>
      <c r="B103" s="3" t="s">
        <v>233</v>
      </c>
      <c r="C103" s="4" t="s">
        <v>234</v>
      </c>
      <c r="D103" s="4">
        <v>1003</v>
      </c>
      <c r="E103" s="4">
        <v>1</v>
      </c>
      <c r="F103" s="4">
        <v>5</v>
      </c>
      <c r="G103" s="13">
        <v>3</v>
      </c>
      <c r="I103" s="13">
        <v>1</v>
      </c>
      <c r="K103" s="10">
        <v>0</v>
      </c>
      <c r="L103" s="4">
        <v>420</v>
      </c>
      <c r="M103" s="4">
        <v>0</v>
      </c>
      <c r="N103" s="4" t="s">
        <v>231</v>
      </c>
      <c r="O103" s="4" t="s">
        <v>232</v>
      </c>
      <c r="P103" s="12">
        <v>0</v>
      </c>
    </row>
    <row r="104" spans="1:17" ht="14.25" x14ac:dyDescent="0.15">
      <c r="A104" s="2">
        <v>2558</v>
      </c>
      <c r="B104" s="3" t="s">
        <v>235</v>
      </c>
      <c r="C104" s="4" t="s">
        <v>236</v>
      </c>
      <c r="D104" s="4">
        <v>1001</v>
      </c>
      <c r="E104" s="4">
        <v>1</v>
      </c>
      <c r="F104" s="4">
        <v>5</v>
      </c>
      <c r="G104" s="13">
        <v>3</v>
      </c>
      <c r="I104" s="13">
        <v>1</v>
      </c>
      <c r="K104" s="10">
        <v>0</v>
      </c>
      <c r="L104" s="4">
        <v>420</v>
      </c>
      <c r="M104" s="4">
        <v>0</v>
      </c>
      <c r="N104" s="4" t="s">
        <v>231</v>
      </c>
      <c r="O104" s="4" t="s">
        <v>232</v>
      </c>
      <c r="P104" s="12">
        <v>0</v>
      </c>
    </row>
    <row r="105" spans="1:17" ht="14.25" x14ac:dyDescent="0.15">
      <c r="A105" s="2">
        <v>2559</v>
      </c>
      <c r="B105" s="3" t="s">
        <v>237</v>
      </c>
      <c r="C105" s="4" t="s">
        <v>238</v>
      </c>
      <c r="D105" s="4">
        <v>1001</v>
      </c>
      <c r="E105" s="4">
        <v>1</v>
      </c>
      <c r="F105" s="4">
        <v>5</v>
      </c>
      <c r="G105" s="13">
        <v>3</v>
      </c>
      <c r="I105" s="13">
        <v>1</v>
      </c>
      <c r="K105" s="10">
        <v>0</v>
      </c>
      <c r="L105" s="4">
        <v>420</v>
      </c>
      <c r="M105" s="4">
        <v>0</v>
      </c>
      <c r="N105" s="4" t="s">
        <v>231</v>
      </c>
      <c r="O105" s="4" t="s">
        <v>232</v>
      </c>
      <c r="P105" s="12">
        <v>0</v>
      </c>
    </row>
    <row r="106" spans="1:17" ht="14.25" x14ac:dyDescent="0.15">
      <c r="A106" s="2">
        <v>2560</v>
      </c>
      <c r="B106" s="3" t="s">
        <v>239</v>
      </c>
      <c r="C106" s="4" t="s">
        <v>240</v>
      </c>
      <c r="D106" s="4">
        <v>1001</v>
      </c>
      <c r="E106" s="4">
        <v>1</v>
      </c>
      <c r="F106" s="4">
        <v>5</v>
      </c>
      <c r="G106" s="13">
        <v>3</v>
      </c>
      <c r="I106" s="13">
        <v>1</v>
      </c>
      <c r="K106" s="10">
        <v>0</v>
      </c>
      <c r="L106" s="4">
        <v>420</v>
      </c>
      <c r="M106" s="4">
        <v>0</v>
      </c>
      <c r="N106" s="4" t="s">
        <v>231</v>
      </c>
      <c r="O106" s="4" t="s">
        <v>232</v>
      </c>
      <c r="P106" s="12">
        <v>0</v>
      </c>
    </row>
    <row r="107" spans="1:17" ht="14.25" x14ac:dyDescent="0.15">
      <c r="A107" s="2">
        <v>2561</v>
      </c>
      <c r="B107" s="3" t="s">
        <v>241</v>
      </c>
      <c r="C107" s="4" t="s">
        <v>242</v>
      </c>
      <c r="D107" s="4">
        <v>1001</v>
      </c>
      <c r="E107" s="4">
        <v>1</v>
      </c>
      <c r="F107" s="4">
        <v>5</v>
      </c>
      <c r="G107" s="13">
        <v>3</v>
      </c>
      <c r="I107" s="13">
        <v>1</v>
      </c>
      <c r="K107" s="10">
        <v>0</v>
      </c>
      <c r="L107" s="4">
        <v>420</v>
      </c>
      <c r="M107" s="4">
        <v>0</v>
      </c>
      <c r="N107" s="4" t="s">
        <v>231</v>
      </c>
      <c r="O107" s="4" t="s">
        <v>232</v>
      </c>
      <c r="P107" s="12">
        <v>0</v>
      </c>
    </row>
    <row r="108" spans="1:17" ht="14.25" x14ac:dyDescent="0.15">
      <c r="A108" s="2">
        <v>2562</v>
      </c>
      <c r="B108" s="3" t="s">
        <v>243</v>
      </c>
      <c r="C108" s="4" t="s">
        <v>244</v>
      </c>
      <c r="D108" s="4">
        <v>5025</v>
      </c>
      <c r="E108" s="4">
        <v>5</v>
      </c>
      <c r="F108" s="4">
        <v>1</v>
      </c>
      <c r="G108" s="13">
        <v>0</v>
      </c>
      <c r="I108" s="13">
        <v>1</v>
      </c>
      <c r="K108" s="10">
        <v>0</v>
      </c>
      <c r="L108" s="4">
        <v>210</v>
      </c>
      <c r="M108" s="4">
        <v>100</v>
      </c>
      <c r="N108" s="4" t="s">
        <v>245</v>
      </c>
      <c r="O108" s="4" t="s">
        <v>131</v>
      </c>
      <c r="P108" s="12">
        <v>0</v>
      </c>
    </row>
    <row r="109" spans="1:17" s="7" customFormat="1" ht="14.25" x14ac:dyDescent="0.15">
      <c r="A109" s="2">
        <v>2725</v>
      </c>
      <c r="B109" s="3" t="s">
        <v>246</v>
      </c>
      <c r="C109" s="4" t="s">
        <v>247</v>
      </c>
      <c r="D109" s="4">
        <v>1817</v>
      </c>
      <c r="E109" s="19">
        <v>4</v>
      </c>
      <c r="F109" s="4">
        <v>1</v>
      </c>
      <c r="G109" s="13">
        <v>0</v>
      </c>
      <c r="H109" s="11"/>
      <c r="I109" s="13">
        <v>1</v>
      </c>
      <c r="J109" s="11"/>
      <c r="K109" s="10">
        <v>0</v>
      </c>
      <c r="L109" s="4">
        <v>160</v>
      </c>
      <c r="M109" s="4">
        <v>100</v>
      </c>
      <c r="N109" s="4" t="s">
        <v>248</v>
      </c>
      <c r="O109" s="19" t="s">
        <v>249</v>
      </c>
      <c r="P109" s="12">
        <v>0</v>
      </c>
      <c r="Q109" s="12"/>
    </row>
    <row r="110" spans="1:17" s="7" customFormat="1" ht="14.25" x14ac:dyDescent="0.15">
      <c r="A110" s="2">
        <v>2726</v>
      </c>
      <c r="B110" s="3" t="s">
        <v>250</v>
      </c>
      <c r="C110" s="4" t="s">
        <v>251</v>
      </c>
      <c r="D110" s="4">
        <v>1817</v>
      </c>
      <c r="E110" s="19">
        <v>4</v>
      </c>
      <c r="F110" s="4">
        <v>1</v>
      </c>
      <c r="G110" s="13">
        <v>0</v>
      </c>
      <c r="H110" s="11"/>
      <c r="I110" s="13">
        <v>1</v>
      </c>
      <c r="J110" s="11"/>
      <c r="K110" s="10">
        <v>0</v>
      </c>
      <c r="L110" s="4">
        <v>160</v>
      </c>
      <c r="M110" s="4">
        <v>100</v>
      </c>
      <c r="N110" s="4" t="s">
        <v>248</v>
      </c>
      <c r="O110" s="19" t="s">
        <v>249</v>
      </c>
      <c r="P110" s="12">
        <v>0</v>
      </c>
      <c r="Q110" s="12"/>
    </row>
    <row r="111" spans="1:17" s="7" customFormat="1" ht="14.25" x14ac:dyDescent="0.15">
      <c r="A111" s="2">
        <v>2727</v>
      </c>
      <c r="B111" s="3" t="s">
        <v>252</v>
      </c>
      <c r="C111" s="4" t="s">
        <v>253</v>
      </c>
      <c r="D111" s="4">
        <v>1817</v>
      </c>
      <c r="E111" s="19">
        <v>4</v>
      </c>
      <c r="F111" s="4">
        <v>1</v>
      </c>
      <c r="G111" s="13">
        <v>0</v>
      </c>
      <c r="H111" s="11"/>
      <c r="I111" s="13">
        <v>1</v>
      </c>
      <c r="J111" s="11"/>
      <c r="K111" s="10">
        <v>0</v>
      </c>
      <c r="L111" s="4">
        <v>160</v>
      </c>
      <c r="M111" s="4">
        <v>100</v>
      </c>
      <c r="N111" s="4" t="s">
        <v>248</v>
      </c>
      <c r="O111" s="19" t="s">
        <v>249</v>
      </c>
      <c r="P111" s="12">
        <v>0</v>
      </c>
      <c r="Q111" s="12"/>
    </row>
    <row r="112" spans="1:17" s="7" customFormat="1" ht="14.25" x14ac:dyDescent="0.15">
      <c r="A112" s="2">
        <v>2728</v>
      </c>
      <c r="B112" s="3" t="s">
        <v>254</v>
      </c>
      <c r="C112" s="4" t="s">
        <v>255</v>
      </c>
      <c r="D112" s="4">
        <v>1817</v>
      </c>
      <c r="E112" s="19">
        <v>4</v>
      </c>
      <c r="F112" s="4">
        <v>1</v>
      </c>
      <c r="G112" s="13">
        <v>0</v>
      </c>
      <c r="H112" s="11"/>
      <c r="I112" s="13">
        <v>1</v>
      </c>
      <c r="J112" s="11"/>
      <c r="K112" s="10">
        <v>0</v>
      </c>
      <c r="L112" s="4">
        <v>160</v>
      </c>
      <c r="M112" s="4">
        <v>100</v>
      </c>
      <c r="N112" s="4" t="s">
        <v>248</v>
      </c>
      <c r="O112" s="19" t="s">
        <v>249</v>
      </c>
      <c r="P112" s="12">
        <v>0</v>
      </c>
      <c r="Q112" s="12"/>
    </row>
    <row r="113" spans="1:17" s="7" customFormat="1" ht="14.25" x14ac:dyDescent="0.15">
      <c r="A113" s="2">
        <v>2729</v>
      </c>
      <c r="B113" s="3" t="s">
        <v>256</v>
      </c>
      <c r="C113" s="4" t="s">
        <v>257</v>
      </c>
      <c r="D113" s="4">
        <v>1817</v>
      </c>
      <c r="E113" s="19">
        <v>4</v>
      </c>
      <c r="F113" s="4">
        <v>1</v>
      </c>
      <c r="G113" s="13">
        <v>0</v>
      </c>
      <c r="H113" s="11"/>
      <c r="I113" s="13">
        <v>1</v>
      </c>
      <c r="J113" s="11"/>
      <c r="K113" s="10">
        <v>0</v>
      </c>
      <c r="L113" s="4">
        <v>160</v>
      </c>
      <c r="M113" s="4">
        <v>100</v>
      </c>
      <c r="N113" s="4" t="s">
        <v>248</v>
      </c>
      <c r="O113" s="19" t="s">
        <v>249</v>
      </c>
      <c r="P113" s="12">
        <v>0</v>
      </c>
      <c r="Q113" s="12"/>
    </row>
    <row r="114" spans="1:17" s="7" customFormat="1" ht="14.25" x14ac:dyDescent="0.15">
      <c r="A114" s="2">
        <v>2730</v>
      </c>
      <c r="B114" s="3" t="s">
        <v>258</v>
      </c>
      <c r="C114" s="4" t="s">
        <v>259</v>
      </c>
      <c r="D114" s="4">
        <v>1817</v>
      </c>
      <c r="E114" s="19">
        <v>4</v>
      </c>
      <c r="F114" s="4">
        <v>1</v>
      </c>
      <c r="G114" s="13">
        <v>0</v>
      </c>
      <c r="H114" s="11"/>
      <c r="I114" s="13">
        <v>1</v>
      </c>
      <c r="J114" s="11"/>
      <c r="K114" s="10">
        <v>0</v>
      </c>
      <c r="L114" s="4">
        <v>160</v>
      </c>
      <c r="M114" s="4">
        <v>100</v>
      </c>
      <c r="N114" s="4" t="s">
        <v>248</v>
      </c>
      <c r="O114" s="19" t="s">
        <v>249</v>
      </c>
      <c r="P114" s="12">
        <v>0</v>
      </c>
      <c r="Q114" s="12"/>
    </row>
    <row r="115" spans="1:17" s="7" customFormat="1" ht="14.25" x14ac:dyDescent="0.15">
      <c r="A115" s="2">
        <v>2745</v>
      </c>
      <c r="B115" s="3" t="s">
        <v>260</v>
      </c>
      <c r="C115" s="4" t="s">
        <v>261</v>
      </c>
      <c r="D115" s="4">
        <v>5086</v>
      </c>
      <c r="E115" s="4">
        <v>5</v>
      </c>
      <c r="F115" s="4">
        <v>1</v>
      </c>
      <c r="G115" s="13">
        <v>0</v>
      </c>
      <c r="H115" s="11"/>
      <c r="I115" s="13">
        <v>1</v>
      </c>
      <c r="J115" s="11"/>
      <c r="K115" s="10">
        <v>0</v>
      </c>
      <c r="L115" s="4">
        <v>190</v>
      </c>
      <c r="M115" s="4">
        <v>100</v>
      </c>
      <c r="N115" s="4" t="s">
        <v>114</v>
      </c>
      <c r="O115" s="19"/>
      <c r="P115" s="12">
        <v>0</v>
      </c>
      <c r="Q115" s="12"/>
    </row>
    <row r="116" spans="1:17" ht="14.25" x14ac:dyDescent="0.15">
      <c r="A116" s="2">
        <v>3201</v>
      </c>
      <c r="B116" s="3" t="s">
        <v>262</v>
      </c>
      <c r="C116" s="4" t="s">
        <v>263</v>
      </c>
      <c r="D116" s="4">
        <v>3500</v>
      </c>
      <c r="E116" s="4">
        <v>5</v>
      </c>
      <c r="F116" s="4">
        <v>5</v>
      </c>
      <c r="G116" s="13">
        <v>2</v>
      </c>
      <c r="I116" s="13">
        <v>1</v>
      </c>
      <c r="K116" s="10">
        <v>0</v>
      </c>
      <c r="L116" s="4">
        <v>630</v>
      </c>
      <c r="M116" s="4">
        <v>100</v>
      </c>
      <c r="N116" s="4" t="s">
        <v>264</v>
      </c>
      <c r="O116" s="4"/>
      <c r="P116" s="12">
        <v>0</v>
      </c>
    </row>
    <row r="117" spans="1:17" ht="14.25" x14ac:dyDescent="0.15">
      <c r="A117" s="2">
        <v>3202</v>
      </c>
      <c r="B117" s="3" t="s">
        <v>265</v>
      </c>
      <c r="C117" s="4" t="s">
        <v>266</v>
      </c>
      <c r="D117" s="4">
        <v>3501</v>
      </c>
      <c r="E117" s="4">
        <v>5</v>
      </c>
      <c r="F117" s="4">
        <v>5</v>
      </c>
      <c r="G117" s="13">
        <v>2</v>
      </c>
      <c r="I117" s="13">
        <v>1</v>
      </c>
      <c r="K117" s="10">
        <v>0</v>
      </c>
      <c r="L117" s="4">
        <v>630</v>
      </c>
      <c r="M117" s="4">
        <v>100</v>
      </c>
      <c r="N117" s="4" t="s">
        <v>264</v>
      </c>
      <c r="O117" s="4"/>
      <c r="P117" s="12">
        <v>0</v>
      </c>
    </row>
    <row r="118" spans="1:17" ht="14.25" x14ac:dyDescent="0.15">
      <c r="A118" s="2">
        <v>3203</v>
      </c>
      <c r="B118" s="3" t="s">
        <v>267</v>
      </c>
      <c r="C118" s="4" t="s">
        <v>268</v>
      </c>
      <c r="D118" s="4">
        <v>3502</v>
      </c>
      <c r="E118" s="4">
        <v>5</v>
      </c>
      <c r="F118" s="4">
        <v>5</v>
      </c>
      <c r="G118" s="13">
        <v>2</v>
      </c>
      <c r="I118" s="13">
        <v>1</v>
      </c>
      <c r="K118" s="10">
        <v>0</v>
      </c>
      <c r="L118" s="4">
        <v>630</v>
      </c>
      <c r="M118" s="4">
        <v>100</v>
      </c>
      <c r="N118" s="4" t="s">
        <v>269</v>
      </c>
      <c r="O118" s="4"/>
      <c r="P118" s="12">
        <v>0</v>
      </c>
    </row>
    <row r="119" spans="1:17" s="7" customFormat="1" ht="14.25" x14ac:dyDescent="0.15">
      <c r="A119" s="24">
        <v>3300</v>
      </c>
      <c r="B119" s="18" t="s">
        <v>270</v>
      </c>
      <c r="C119" s="19" t="s">
        <v>271</v>
      </c>
      <c r="D119" s="19">
        <v>3300</v>
      </c>
      <c r="E119" s="19">
        <v>1</v>
      </c>
      <c r="F119" s="19">
        <v>11</v>
      </c>
      <c r="G119" s="13">
        <v>0</v>
      </c>
      <c r="H119" s="11"/>
      <c r="I119" s="13">
        <v>1</v>
      </c>
      <c r="J119" s="11"/>
      <c r="K119" s="10">
        <v>0</v>
      </c>
      <c r="L119" s="19">
        <v>400</v>
      </c>
      <c r="M119" s="19">
        <v>100</v>
      </c>
      <c r="N119" s="19"/>
      <c r="O119" s="19"/>
      <c r="P119" s="12">
        <v>0</v>
      </c>
      <c r="Q119" s="12"/>
    </row>
    <row r="120" spans="1:17" s="7" customFormat="1" ht="14.25" x14ac:dyDescent="0.15">
      <c r="A120" s="24">
        <v>3301</v>
      </c>
      <c r="B120" s="18" t="s">
        <v>272</v>
      </c>
      <c r="C120" s="19" t="s">
        <v>271</v>
      </c>
      <c r="D120" s="19">
        <v>3301</v>
      </c>
      <c r="E120" s="19">
        <v>1</v>
      </c>
      <c r="F120" s="19">
        <v>11</v>
      </c>
      <c r="G120" s="13">
        <v>0</v>
      </c>
      <c r="H120" s="11"/>
      <c r="I120" s="13">
        <v>1</v>
      </c>
      <c r="J120" s="11"/>
      <c r="K120" s="10">
        <v>0</v>
      </c>
      <c r="L120" s="19">
        <v>400</v>
      </c>
      <c r="M120" s="19">
        <v>100</v>
      </c>
      <c r="N120" s="19"/>
      <c r="O120" s="19"/>
      <c r="P120" s="12">
        <v>0</v>
      </c>
      <c r="Q120" s="12"/>
    </row>
    <row r="121" spans="1:17" s="7" customFormat="1" ht="14.25" x14ac:dyDescent="0.15">
      <c r="A121" s="24">
        <v>3302</v>
      </c>
      <c r="B121" s="18" t="s">
        <v>273</v>
      </c>
      <c r="C121" s="19" t="s">
        <v>271</v>
      </c>
      <c r="D121" s="19">
        <v>3302</v>
      </c>
      <c r="E121" s="19">
        <v>1</v>
      </c>
      <c r="F121" s="19">
        <v>11</v>
      </c>
      <c r="G121" s="13">
        <v>0</v>
      </c>
      <c r="H121" s="11"/>
      <c r="I121" s="13">
        <v>1</v>
      </c>
      <c r="J121" s="11"/>
      <c r="K121" s="10">
        <v>0</v>
      </c>
      <c r="L121" s="19">
        <v>400</v>
      </c>
      <c r="M121" s="19">
        <v>100</v>
      </c>
      <c r="N121" s="19"/>
      <c r="O121" s="19"/>
      <c r="P121" s="12">
        <v>0</v>
      </c>
      <c r="Q121" s="12"/>
    </row>
    <row r="122" spans="1:17" s="7" customFormat="1" ht="14.25" x14ac:dyDescent="0.15">
      <c r="A122" s="24">
        <v>3303</v>
      </c>
      <c r="B122" s="18" t="s">
        <v>274</v>
      </c>
      <c r="C122" s="19" t="s">
        <v>271</v>
      </c>
      <c r="D122" s="19">
        <v>3303</v>
      </c>
      <c r="E122" s="19">
        <v>1</v>
      </c>
      <c r="F122" s="19">
        <v>11</v>
      </c>
      <c r="G122" s="13">
        <v>0</v>
      </c>
      <c r="H122" s="11"/>
      <c r="I122" s="13">
        <v>1</v>
      </c>
      <c r="J122" s="11"/>
      <c r="K122" s="10">
        <v>0</v>
      </c>
      <c r="L122" s="19">
        <v>400</v>
      </c>
      <c r="M122" s="19">
        <v>100</v>
      </c>
      <c r="N122" s="19"/>
      <c r="O122" s="19"/>
      <c r="P122" s="12">
        <v>0</v>
      </c>
      <c r="Q122" s="12"/>
    </row>
    <row r="123" spans="1:17" s="7" customFormat="1" ht="14.25" x14ac:dyDescent="0.15">
      <c r="A123" s="24">
        <v>3304</v>
      </c>
      <c r="B123" s="18" t="s">
        <v>275</v>
      </c>
      <c r="C123" s="19" t="s">
        <v>271</v>
      </c>
      <c r="D123" s="19">
        <v>3304</v>
      </c>
      <c r="E123" s="19">
        <v>1</v>
      </c>
      <c r="F123" s="19">
        <v>11</v>
      </c>
      <c r="G123" s="13">
        <v>0</v>
      </c>
      <c r="H123" s="11"/>
      <c r="I123" s="13">
        <v>1</v>
      </c>
      <c r="J123" s="11"/>
      <c r="K123" s="10">
        <v>0</v>
      </c>
      <c r="L123" s="19">
        <v>400</v>
      </c>
      <c r="M123" s="19">
        <v>100</v>
      </c>
      <c r="N123" s="19"/>
      <c r="O123" s="19"/>
      <c r="P123" s="12">
        <v>0</v>
      </c>
      <c r="Q123" s="12"/>
    </row>
    <row r="124" spans="1:17" s="7" customFormat="1" ht="14.25" x14ac:dyDescent="0.15">
      <c r="A124" s="24">
        <v>3305</v>
      </c>
      <c r="B124" s="18" t="s">
        <v>276</v>
      </c>
      <c r="C124" s="19" t="s">
        <v>271</v>
      </c>
      <c r="D124" s="19">
        <v>3305</v>
      </c>
      <c r="E124" s="19">
        <v>1</v>
      </c>
      <c r="F124" s="19">
        <v>11</v>
      </c>
      <c r="G124" s="13">
        <v>0</v>
      </c>
      <c r="H124" s="11"/>
      <c r="I124" s="13">
        <v>1</v>
      </c>
      <c r="J124" s="11"/>
      <c r="K124" s="10">
        <v>0</v>
      </c>
      <c r="L124" s="19">
        <v>400</v>
      </c>
      <c r="M124" s="19">
        <v>100</v>
      </c>
      <c r="N124" s="19"/>
      <c r="O124" s="19"/>
      <c r="P124" s="12">
        <v>0</v>
      </c>
      <c r="Q124" s="12"/>
    </row>
    <row r="125" spans="1:17" s="7" customFormat="1" ht="14.25" x14ac:dyDescent="0.15">
      <c r="A125" s="24">
        <v>3306</v>
      </c>
      <c r="B125" s="18" t="s">
        <v>277</v>
      </c>
      <c r="C125" s="19" t="s">
        <v>271</v>
      </c>
      <c r="D125" s="19">
        <v>3306</v>
      </c>
      <c r="E125" s="19">
        <v>1</v>
      </c>
      <c r="F125" s="19">
        <v>11</v>
      </c>
      <c r="G125" s="13">
        <v>0</v>
      </c>
      <c r="H125" s="11"/>
      <c r="I125" s="13">
        <v>1</v>
      </c>
      <c r="J125" s="11"/>
      <c r="K125" s="10">
        <v>0</v>
      </c>
      <c r="L125" s="19">
        <v>400</v>
      </c>
      <c r="M125" s="19">
        <v>100</v>
      </c>
      <c r="N125" s="19"/>
      <c r="O125" s="19"/>
      <c r="P125" s="12">
        <v>0</v>
      </c>
      <c r="Q125" s="12"/>
    </row>
    <row r="126" spans="1:17" s="7" customFormat="1" ht="14.25" x14ac:dyDescent="0.15">
      <c r="A126" s="24">
        <v>3307</v>
      </c>
      <c r="B126" s="18" t="s">
        <v>278</v>
      </c>
      <c r="C126" s="19" t="s">
        <v>271</v>
      </c>
      <c r="D126" s="19">
        <v>3307</v>
      </c>
      <c r="E126" s="19">
        <v>1</v>
      </c>
      <c r="F126" s="19">
        <v>11</v>
      </c>
      <c r="G126" s="13">
        <v>0</v>
      </c>
      <c r="H126" s="11"/>
      <c r="I126" s="13">
        <v>1</v>
      </c>
      <c r="J126" s="11"/>
      <c r="K126" s="10">
        <v>0</v>
      </c>
      <c r="L126" s="19">
        <v>400</v>
      </c>
      <c r="M126" s="19">
        <v>100</v>
      </c>
      <c r="N126" s="19"/>
      <c r="O126" s="19"/>
      <c r="P126" s="12">
        <v>0</v>
      </c>
      <c r="Q126" s="12"/>
    </row>
    <row r="127" spans="1:17" s="7" customFormat="1" ht="14.25" x14ac:dyDescent="0.15">
      <c r="A127" s="24">
        <v>3308</v>
      </c>
      <c r="B127" s="18" t="s">
        <v>274</v>
      </c>
      <c r="C127" s="19" t="s">
        <v>271</v>
      </c>
      <c r="D127" s="19">
        <v>3308</v>
      </c>
      <c r="E127" s="19">
        <v>1</v>
      </c>
      <c r="F127" s="19">
        <v>11</v>
      </c>
      <c r="G127" s="13">
        <v>0</v>
      </c>
      <c r="H127" s="11"/>
      <c r="I127" s="13">
        <v>1</v>
      </c>
      <c r="J127" s="11"/>
      <c r="K127" s="10">
        <v>0</v>
      </c>
      <c r="L127" s="19">
        <v>400</v>
      </c>
      <c r="M127" s="19">
        <v>100</v>
      </c>
      <c r="N127" s="19"/>
      <c r="O127" s="19"/>
      <c r="P127" s="12">
        <v>0</v>
      </c>
      <c r="Q127" s="12"/>
    </row>
    <row r="128" spans="1:17" s="7" customFormat="1" ht="14.25" x14ac:dyDescent="0.15">
      <c r="A128" s="24">
        <v>3309</v>
      </c>
      <c r="B128" s="18" t="s">
        <v>275</v>
      </c>
      <c r="C128" s="19" t="s">
        <v>271</v>
      </c>
      <c r="D128" s="19">
        <v>3309</v>
      </c>
      <c r="E128" s="19">
        <v>1</v>
      </c>
      <c r="F128" s="19">
        <v>11</v>
      </c>
      <c r="G128" s="13">
        <v>0</v>
      </c>
      <c r="H128" s="11"/>
      <c r="I128" s="13">
        <v>1</v>
      </c>
      <c r="J128" s="11"/>
      <c r="K128" s="10">
        <v>0</v>
      </c>
      <c r="L128" s="19">
        <v>400</v>
      </c>
      <c r="M128" s="19">
        <v>100</v>
      </c>
      <c r="N128" s="19"/>
      <c r="O128" s="19"/>
      <c r="P128" s="12">
        <v>0</v>
      </c>
      <c r="Q128" s="12"/>
    </row>
    <row r="129" spans="1:17" s="7" customFormat="1" ht="14.25" x14ac:dyDescent="0.15">
      <c r="A129" s="24">
        <v>3310</v>
      </c>
      <c r="B129" s="18" t="s">
        <v>279</v>
      </c>
      <c r="C129" s="19" t="s">
        <v>271</v>
      </c>
      <c r="D129" s="19">
        <v>3310</v>
      </c>
      <c r="E129" s="19">
        <v>1</v>
      </c>
      <c r="F129" s="19">
        <v>11</v>
      </c>
      <c r="G129" s="13">
        <v>0</v>
      </c>
      <c r="H129" s="11"/>
      <c r="I129" s="13">
        <v>1</v>
      </c>
      <c r="J129" s="11"/>
      <c r="K129" s="10">
        <v>0</v>
      </c>
      <c r="L129" s="19">
        <v>400</v>
      </c>
      <c r="M129" s="19">
        <v>100</v>
      </c>
      <c r="N129" s="19"/>
      <c r="O129" s="19"/>
      <c r="P129" s="12">
        <v>0</v>
      </c>
      <c r="Q129" s="12"/>
    </row>
    <row r="130" spans="1:17" s="7" customFormat="1" ht="14.25" x14ac:dyDescent="0.15">
      <c r="A130" s="24">
        <v>3311</v>
      </c>
      <c r="B130" s="18" t="s">
        <v>280</v>
      </c>
      <c r="C130" s="19" t="s">
        <v>271</v>
      </c>
      <c r="D130" s="19">
        <v>3311</v>
      </c>
      <c r="E130" s="19">
        <v>1</v>
      </c>
      <c r="F130" s="19">
        <v>11</v>
      </c>
      <c r="G130" s="13">
        <v>0</v>
      </c>
      <c r="H130" s="11"/>
      <c r="I130" s="13">
        <v>1</v>
      </c>
      <c r="J130" s="11"/>
      <c r="K130" s="10">
        <v>0</v>
      </c>
      <c r="L130" s="19">
        <v>400</v>
      </c>
      <c r="M130" s="19">
        <v>100</v>
      </c>
      <c r="N130" s="19"/>
      <c r="O130" s="19"/>
      <c r="P130" s="12">
        <v>0</v>
      </c>
      <c r="Q130" s="12"/>
    </row>
    <row r="131" spans="1:17" s="7" customFormat="1" ht="14.25" x14ac:dyDescent="0.15">
      <c r="A131" s="24">
        <v>3312</v>
      </c>
      <c r="B131" s="18" t="s">
        <v>278</v>
      </c>
      <c r="C131" s="19" t="s">
        <v>271</v>
      </c>
      <c r="D131" s="19">
        <v>2994</v>
      </c>
      <c r="E131" s="19">
        <v>1</v>
      </c>
      <c r="F131" s="19">
        <v>11</v>
      </c>
      <c r="G131" s="13">
        <v>0</v>
      </c>
      <c r="H131" s="11"/>
      <c r="I131" s="13">
        <v>1</v>
      </c>
      <c r="J131" s="11"/>
      <c r="K131" s="10">
        <v>0</v>
      </c>
      <c r="L131" s="19">
        <v>400</v>
      </c>
      <c r="M131" s="19">
        <v>100</v>
      </c>
      <c r="N131" s="19"/>
      <c r="O131" s="19"/>
      <c r="P131" s="12">
        <v>0</v>
      </c>
      <c r="Q131" s="12"/>
    </row>
    <row r="132" spans="1:17" s="7" customFormat="1" ht="14.25" x14ac:dyDescent="0.15">
      <c r="A132" s="24">
        <v>3313</v>
      </c>
      <c r="B132" s="18" t="s">
        <v>274</v>
      </c>
      <c r="C132" s="19" t="s">
        <v>271</v>
      </c>
      <c r="D132" s="19">
        <v>2995</v>
      </c>
      <c r="E132" s="19">
        <v>1</v>
      </c>
      <c r="F132" s="19">
        <v>11</v>
      </c>
      <c r="G132" s="13">
        <v>0</v>
      </c>
      <c r="H132" s="11"/>
      <c r="I132" s="13">
        <v>1</v>
      </c>
      <c r="J132" s="11"/>
      <c r="K132" s="10">
        <v>0</v>
      </c>
      <c r="L132" s="19">
        <v>400</v>
      </c>
      <c r="M132" s="19">
        <v>100</v>
      </c>
      <c r="N132" s="19"/>
      <c r="O132" s="19"/>
      <c r="P132" s="12">
        <v>0</v>
      </c>
      <c r="Q132" s="12"/>
    </row>
    <row r="133" spans="1:17" s="7" customFormat="1" ht="14.25" x14ac:dyDescent="0.15">
      <c r="A133" s="24">
        <v>3314</v>
      </c>
      <c r="B133" s="18" t="s">
        <v>275</v>
      </c>
      <c r="C133" s="19" t="s">
        <v>271</v>
      </c>
      <c r="D133" s="19">
        <v>2996</v>
      </c>
      <c r="E133" s="19">
        <v>1</v>
      </c>
      <c r="F133" s="19">
        <v>11</v>
      </c>
      <c r="G133" s="13">
        <v>0</v>
      </c>
      <c r="H133" s="11"/>
      <c r="I133" s="13">
        <v>1</v>
      </c>
      <c r="J133" s="11"/>
      <c r="K133" s="10">
        <v>0</v>
      </c>
      <c r="L133" s="19">
        <v>400</v>
      </c>
      <c r="M133" s="19">
        <v>100</v>
      </c>
      <c r="N133" s="19"/>
      <c r="O133" s="19"/>
      <c r="P133" s="12">
        <v>0</v>
      </c>
      <c r="Q133" s="12"/>
    </row>
    <row r="134" spans="1:17" ht="15.75" x14ac:dyDescent="0.3">
      <c r="A134" s="2">
        <v>4001</v>
      </c>
      <c r="B134" s="25" t="s">
        <v>281</v>
      </c>
      <c r="C134" s="26" t="s">
        <v>282</v>
      </c>
      <c r="D134" s="4">
        <v>4000</v>
      </c>
      <c r="E134" s="4">
        <v>4</v>
      </c>
      <c r="F134" s="4">
        <v>12</v>
      </c>
      <c r="G134" s="13">
        <v>2</v>
      </c>
      <c r="I134" s="13">
        <v>1</v>
      </c>
      <c r="K134" s="10">
        <v>0</v>
      </c>
      <c r="L134" s="4">
        <v>410</v>
      </c>
      <c r="M134" s="4">
        <v>0</v>
      </c>
      <c r="N134" s="4" t="s">
        <v>117</v>
      </c>
      <c r="O134" s="4"/>
      <c r="P134" s="12">
        <v>0</v>
      </c>
    </row>
    <row r="135" spans="1:17" ht="15.75" x14ac:dyDescent="0.3">
      <c r="A135" s="2">
        <v>4002</v>
      </c>
      <c r="B135" s="25" t="s">
        <v>283</v>
      </c>
      <c r="C135" s="26" t="s">
        <v>284</v>
      </c>
      <c r="D135" s="4">
        <v>4000</v>
      </c>
      <c r="E135" s="4">
        <v>4</v>
      </c>
      <c r="F135" s="4">
        <v>12</v>
      </c>
      <c r="G135" s="13">
        <v>2</v>
      </c>
      <c r="I135" s="13">
        <v>1</v>
      </c>
      <c r="K135" s="10">
        <v>0</v>
      </c>
      <c r="L135" s="4">
        <v>410</v>
      </c>
      <c r="M135" s="4">
        <v>0</v>
      </c>
      <c r="N135" s="4" t="s">
        <v>117</v>
      </c>
      <c r="O135" s="4"/>
      <c r="P135" s="12">
        <v>0</v>
      </c>
    </row>
    <row r="136" spans="1:17" ht="15.75" x14ac:dyDescent="0.3">
      <c r="A136" s="2">
        <v>4003</v>
      </c>
      <c r="B136" s="25" t="s">
        <v>285</v>
      </c>
      <c r="C136" s="26" t="s">
        <v>286</v>
      </c>
      <c r="D136" s="4">
        <v>4000</v>
      </c>
      <c r="E136" s="4">
        <v>4</v>
      </c>
      <c r="F136" s="4">
        <v>12</v>
      </c>
      <c r="G136" s="13">
        <v>2</v>
      </c>
      <c r="I136" s="13">
        <v>1</v>
      </c>
      <c r="K136" s="10">
        <v>0</v>
      </c>
      <c r="L136" s="4">
        <v>410</v>
      </c>
      <c r="M136" s="4">
        <v>0</v>
      </c>
      <c r="N136" s="4" t="s">
        <v>117</v>
      </c>
      <c r="O136" s="4"/>
      <c r="P136" s="12">
        <v>0</v>
      </c>
    </row>
    <row r="137" spans="1:17" ht="15.75" x14ac:dyDescent="0.3">
      <c r="A137" s="2">
        <v>4004</v>
      </c>
      <c r="B137" s="25" t="s">
        <v>287</v>
      </c>
      <c r="C137" s="4" t="s">
        <v>288</v>
      </c>
      <c r="D137" s="4">
        <v>4000</v>
      </c>
      <c r="E137" s="4">
        <v>4</v>
      </c>
      <c r="F137" s="4">
        <v>12</v>
      </c>
      <c r="G137" s="13">
        <v>2</v>
      </c>
      <c r="I137" s="13">
        <v>1</v>
      </c>
      <c r="K137" s="10">
        <v>0</v>
      </c>
      <c r="L137" s="4">
        <v>410</v>
      </c>
      <c r="M137" s="4">
        <v>0</v>
      </c>
      <c r="N137" s="4" t="s">
        <v>117</v>
      </c>
      <c r="O137" s="4"/>
      <c r="P137" s="12">
        <v>0</v>
      </c>
    </row>
    <row r="138" spans="1:17" ht="15.75" x14ac:dyDescent="0.3">
      <c r="A138" s="2">
        <v>4005</v>
      </c>
      <c r="B138" s="25" t="s">
        <v>289</v>
      </c>
      <c r="C138" s="4" t="s">
        <v>290</v>
      </c>
      <c r="D138" s="4">
        <v>4000</v>
      </c>
      <c r="E138" s="4">
        <v>4</v>
      </c>
      <c r="F138" s="4">
        <v>12</v>
      </c>
      <c r="G138" s="13">
        <v>2</v>
      </c>
      <c r="I138" s="13">
        <v>1</v>
      </c>
      <c r="K138" s="10">
        <v>0</v>
      </c>
      <c r="L138" s="4">
        <v>410</v>
      </c>
      <c r="M138" s="4">
        <v>0</v>
      </c>
      <c r="N138" s="4" t="s">
        <v>117</v>
      </c>
      <c r="O138" s="4"/>
      <c r="P138" s="12">
        <v>0</v>
      </c>
    </row>
    <row r="139" spans="1:17" ht="15.75" x14ac:dyDescent="0.3">
      <c r="A139" s="2">
        <v>4006</v>
      </c>
      <c r="B139" s="25" t="s">
        <v>291</v>
      </c>
      <c r="C139" s="4" t="s">
        <v>292</v>
      </c>
      <c r="D139" s="4">
        <v>4000</v>
      </c>
      <c r="E139" s="4">
        <v>4</v>
      </c>
      <c r="F139" s="4">
        <v>12</v>
      </c>
      <c r="G139" s="13">
        <v>2</v>
      </c>
      <c r="I139" s="13">
        <v>1</v>
      </c>
      <c r="K139" s="10">
        <v>0</v>
      </c>
      <c r="L139" s="4">
        <v>410</v>
      </c>
      <c r="M139" s="4">
        <v>0</v>
      </c>
      <c r="N139" s="4" t="s">
        <v>117</v>
      </c>
      <c r="O139" s="4"/>
      <c r="P139" s="12">
        <v>0</v>
      </c>
    </row>
    <row r="140" spans="1:17" ht="15.75" x14ac:dyDescent="0.3">
      <c r="A140" s="2">
        <v>4007</v>
      </c>
      <c r="B140" s="25" t="s">
        <v>293</v>
      </c>
      <c r="C140" s="4" t="s">
        <v>294</v>
      </c>
      <c r="D140" s="4">
        <v>4000</v>
      </c>
      <c r="E140" s="4">
        <v>4</v>
      </c>
      <c r="F140" s="4">
        <v>12</v>
      </c>
      <c r="G140" s="13">
        <v>2</v>
      </c>
      <c r="I140" s="13">
        <v>1</v>
      </c>
      <c r="K140" s="10">
        <v>0</v>
      </c>
      <c r="L140" s="4">
        <v>410</v>
      </c>
      <c r="M140" s="4">
        <v>0</v>
      </c>
      <c r="N140" s="4" t="s">
        <v>117</v>
      </c>
      <c r="O140" s="4"/>
      <c r="P140" s="12">
        <v>0</v>
      </c>
    </row>
    <row r="141" spans="1:17" ht="15.75" x14ac:dyDescent="0.3">
      <c r="A141" s="2">
        <v>4008</v>
      </c>
      <c r="B141" s="25" t="s">
        <v>295</v>
      </c>
      <c r="C141" s="4" t="s">
        <v>296</v>
      </c>
      <c r="D141" s="4">
        <v>4000</v>
      </c>
      <c r="E141" s="4">
        <v>4</v>
      </c>
      <c r="F141" s="4">
        <v>12</v>
      </c>
      <c r="G141" s="13">
        <v>2</v>
      </c>
      <c r="I141" s="13">
        <v>1</v>
      </c>
      <c r="K141" s="10">
        <v>0</v>
      </c>
      <c r="L141" s="4">
        <v>410</v>
      </c>
      <c r="M141" s="4">
        <v>0</v>
      </c>
      <c r="N141" s="4" t="s">
        <v>117</v>
      </c>
      <c r="O141" s="4"/>
      <c r="P141" s="12">
        <v>0</v>
      </c>
    </row>
    <row r="142" spans="1:17" ht="15.75" x14ac:dyDescent="0.3">
      <c r="A142" s="2">
        <v>4009</v>
      </c>
      <c r="B142" s="25" t="s">
        <v>297</v>
      </c>
      <c r="C142" s="26" t="s">
        <v>298</v>
      </c>
      <c r="D142" s="4">
        <v>4000</v>
      </c>
      <c r="E142" s="4">
        <v>4</v>
      </c>
      <c r="F142" s="4">
        <v>12</v>
      </c>
      <c r="G142" s="13">
        <v>2</v>
      </c>
      <c r="I142" s="13">
        <v>1</v>
      </c>
      <c r="K142" s="10">
        <v>0</v>
      </c>
      <c r="L142" s="4">
        <v>410</v>
      </c>
      <c r="M142" s="4">
        <v>0</v>
      </c>
      <c r="N142" s="4" t="s">
        <v>117</v>
      </c>
      <c r="O142" s="4"/>
      <c r="P142" s="12">
        <v>0</v>
      </c>
    </row>
    <row r="143" spans="1:17" ht="15.75" x14ac:dyDescent="0.3">
      <c r="A143" s="2">
        <v>4010</v>
      </c>
      <c r="B143" s="25" t="s">
        <v>299</v>
      </c>
      <c r="C143" s="26" t="s">
        <v>300</v>
      </c>
      <c r="D143" s="4">
        <v>4000</v>
      </c>
      <c r="E143" s="4">
        <v>4</v>
      </c>
      <c r="F143" s="4">
        <v>12</v>
      </c>
      <c r="G143" s="13">
        <v>2</v>
      </c>
      <c r="I143" s="13">
        <v>1</v>
      </c>
      <c r="K143" s="10">
        <v>0</v>
      </c>
      <c r="L143" s="4">
        <v>410</v>
      </c>
      <c r="M143" s="4">
        <v>0</v>
      </c>
      <c r="N143" s="4" t="s">
        <v>117</v>
      </c>
      <c r="O143" s="4"/>
      <c r="P143" s="12">
        <v>0</v>
      </c>
    </row>
    <row r="144" spans="1:17" ht="14.25" x14ac:dyDescent="0.15">
      <c r="A144" s="2">
        <v>4605</v>
      </c>
      <c r="B144" s="3" t="s">
        <v>344</v>
      </c>
      <c r="C144" s="4" t="s">
        <v>320</v>
      </c>
      <c r="D144" s="4">
        <v>121</v>
      </c>
      <c r="E144" s="4">
        <v>3</v>
      </c>
      <c r="F144" s="4">
        <v>7</v>
      </c>
      <c r="G144" s="13">
        <v>0</v>
      </c>
      <c r="I144" s="13">
        <v>1</v>
      </c>
      <c r="K144" s="10">
        <v>0</v>
      </c>
      <c r="L144" s="4">
        <v>210</v>
      </c>
      <c r="M144" s="4">
        <v>100</v>
      </c>
      <c r="N144" s="19" t="s">
        <v>117</v>
      </c>
      <c r="O144" s="4"/>
      <c r="P144" s="12">
        <v>0</v>
      </c>
    </row>
    <row r="145" spans="1:16" ht="14.25" x14ac:dyDescent="0.15">
      <c r="A145" s="2">
        <v>4606</v>
      </c>
      <c r="B145" s="3" t="s">
        <v>345</v>
      </c>
      <c r="C145" s="4" t="s">
        <v>321</v>
      </c>
      <c r="D145" s="4">
        <v>122</v>
      </c>
      <c r="E145" s="4">
        <v>3</v>
      </c>
      <c r="F145" s="4">
        <v>7</v>
      </c>
      <c r="G145" s="13">
        <v>0</v>
      </c>
      <c r="I145" s="13">
        <v>1</v>
      </c>
      <c r="K145" s="10">
        <v>0</v>
      </c>
      <c r="L145" s="4">
        <v>210</v>
      </c>
      <c r="M145" s="4">
        <v>100</v>
      </c>
      <c r="N145" s="19" t="s">
        <v>117</v>
      </c>
      <c r="O145" s="4"/>
      <c r="P145" s="12">
        <v>0</v>
      </c>
    </row>
    <row r="146" spans="1:16" ht="14.25" x14ac:dyDescent="0.15">
      <c r="A146" s="2">
        <v>4607</v>
      </c>
      <c r="B146" s="3" t="s">
        <v>346</v>
      </c>
      <c r="C146" s="4" t="s">
        <v>322</v>
      </c>
      <c r="D146" s="4">
        <v>123</v>
      </c>
      <c r="E146" s="4">
        <v>3</v>
      </c>
      <c r="F146" s="4">
        <v>7</v>
      </c>
      <c r="G146" s="13">
        <v>0</v>
      </c>
      <c r="I146" s="13">
        <v>1</v>
      </c>
      <c r="K146" s="10">
        <v>0</v>
      </c>
      <c r="L146" s="4">
        <v>210</v>
      </c>
      <c r="M146" s="4">
        <v>100</v>
      </c>
      <c r="N146" s="19" t="s">
        <v>117</v>
      </c>
      <c r="O146" s="4"/>
      <c r="P146" s="12">
        <v>0</v>
      </c>
    </row>
    <row r="147" spans="1:16" ht="14.25" x14ac:dyDescent="0.15">
      <c r="A147" s="2">
        <v>4608</v>
      </c>
      <c r="B147" s="3" t="s">
        <v>347</v>
      </c>
      <c r="C147" s="4" t="s">
        <v>323</v>
      </c>
      <c r="D147" s="4">
        <v>124</v>
      </c>
      <c r="E147" s="4">
        <v>3</v>
      </c>
      <c r="F147" s="4">
        <v>7</v>
      </c>
      <c r="G147" s="13">
        <v>0</v>
      </c>
      <c r="I147" s="13">
        <v>1</v>
      </c>
      <c r="K147" s="10">
        <v>0</v>
      </c>
      <c r="L147" s="4">
        <v>210</v>
      </c>
      <c r="M147" s="4">
        <v>100</v>
      </c>
      <c r="N147" s="19" t="s">
        <v>117</v>
      </c>
      <c r="O147" s="4"/>
      <c r="P147" s="12">
        <v>0</v>
      </c>
    </row>
    <row r="148" spans="1:16" ht="14.25" x14ac:dyDescent="0.15">
      <c r="A148" s="2">
        <v>4609</v>
      </c>
      <c r="B148" s="3" t="s">
        <v>348</v>
      </c>
      <c r="C148" s="4" t="s">
        <v>320</v>
      </c>
      <c r="D148" s="4">
        <v>121</v>
      </c>
      <c r="E148" s="4">
        <v>3</v>
      </c>
      <c r="F148" s="4">
        <v>7</v>
      </c>
      <c r="G148" s="13">
        <v>0</v>
      </c>
      <c r="I148" s="13">
        <v>1</v>
      </c>
      <c r="K148" s="10">
        <v>0</v>
      </c>
      <c r="L148" s="4">
        <v>210</v>
      </c>
      <c r="M148" s="4">
        <v>100</v>
      </c>
      <c r="N148" s="19" t="s">
        <v>117</v>
      </c>
      <c r="O148" s="4"/>
      <c r="P148" s="12">
        <v>0</v>
      </c>
    </row>
    <row r="149" spans="1:16" ht="14.25" x14ac:dyDescent="0.15">
      <c r="A149" s="2">
        <v>4610</v>
      </c>
      <c r="B149" s="3" t="s">
        <v>349</v>
      </c>
      <c r="C149" s="4" t="s">
        <v>321</v>
      </c>
      <c r="D149" s="4">
        <v>122</v>
      </c>
      <c r="E149" s="4">
        <v>3</v>
      </c>
      <c r="F149" s="4">
        <v>7</v>
      </c>
      <c r="G149" s="13">
        <v>0</v>
      </c>
      <c r="I149" s="13">
        <v>1</v>
      </c>
      <c r="K149" s="10">
        <v>0</v>
      </c>
      <c r="L149" s="4">
        <v>210</v>
      </c>
      <c r="M149" s="4">
        <v>100</v>
      </c>
      <c r="N149" s="19" t="s">
        <v>117</v>
      </c>
      <c r="O149" s="4"/>
      <c r="P149" s="12">
        <v>0</v>
      </c>
    </row>
    <row r="150" spans="1:16" ht="14.25" x14ac:dyDescent="0.15">
      <c r="A150" s="2">
        <v>4611</v>
      </c>
      <c r="B150" s="3" t="s">
        <v>350</v>
      </c>
      <c r="C150" s="4" t="s">
        <v>322</v>
      </c>
      <c r="D150" s="4">
        <v>123</v>
      </c>
      <c r="E150" s="4">
        <v>3</v>
      </c>
      <c r="F150" s="4">
        <v>7</v>
      </c>
      <c r="G150" s="13">
        <v>0</v>
      </c>
      <c r="I150" s="13">
        <v>1</v>
      </c>
      <c r="K150" s="10">
        <v>0</v>
      </c>
      <c r="L150" s="4">
        <v>210</v>
      </c>
      <c r="M150" s="4">
        <v>100</v>
      </c>
      <c r="N150" s="19" t="s">
        <v>117</v>
      </c>
      <c r="O150" s="4"/>
      <c r="P150" s="12">
        <v>0</v>
      </c>
    </row>
    <row r="151" spans="1:16" ht="14.25" x14ac:dyDescent="0.15">
      <c r="A151" s="2">
        <v>4612</v>
      </c>
      <c r="B151" s="3" t="s">
        <v>351</v>
      </c>
      <c r="C151" s="4" t="s">
        <v>323</v>
      </c>
      <c r="D151" s="4">
        <v>124</v>
      </c>
      <c r="E151" s="4">
        <v>3</v>
      </c>
      <c r="F151" s="4">
        <v>7</v>
      </c>
      <c r="G151" s="13">
        <v>0</v>
      </c>
      <c r="I151" s="13">
        <v>1</v>
      </c>
      <c r="K151" s="10">
        <v>0</v>
      </c>
      <c r="L151" s="4">
        <v>210</v>
      </c>
      <c r="M151" s="4">
        <v>100</v>
      </c>
      <c r="N151" s="19" t="s">
        <v>117</v>
      </c>
      <c r="O151" s="4"/>
      <c r="P151" s="12">
        <v>0</v>
      </c>
    </row>
    <row r="152" spans="1:16" ht="14.25" x14ac:dyDescent="0.15">
      <c r="A152" s="2">
        <v>4613</v>
      </c>
      <c r="B152" s="3" t="s">
        <v>352</v>
      </c>
      <c r="C152" s="4" t="s">
        <v>324</v>
      </c>
      <c r="D152" s="4">
        <v>131</v>
      </c>
      <c r="E152" s="4">
        <f>E144+1</f>
        <v>4</v>
      </c>
      <c r="F152" s="4">
        <v>7</v>
      </c>
      <c r="G152" s="13">
        <v>0</v>
      </c>
      <c r="I152" s="13">
        <v>1</v>
      </c>
      <c r="K152" s="10">
        <v>0</v>
      </c>
      <c r="L152" s="4">
        <v>210</v>
      </c>
      <c r="M152" s="4">
        <v>100</v>
      </c>
      <c r="N152" s="19" t="s">
        <v>117</v>
      </c>
      <c r="O152" s="4"/>
      <c r="P152" s="12">
        <v>0</v>
      </c>
    </row>
    <row r="153" spans="1:16" ht="14.25" x14ac:dyDescent="0.15">
      <c r="A153" s="2">
        <v>4614</v>
      </c>
      <c r="B153" s="3" t="s">
        <v>353</v>
      </c>
      <c r="C153" s="4" t="s">
        <v>325</v>
      </c>
      <c r="D153" s="4">
        <v>132</v>
      </c>
      <c r="E153" s="4">
        <f t="shared" ref="E153:E183" si="0">E145+1</f>
        <v>4</v>
      </c>
      <c r="F153" s="4">
        <v>7</v>
      </c>
      <c r="G153" s="13">
        <v>0</v>
      </c>
      <c r="I153" s="13">
        <v>1</v>
      </c>
      <c r="K153" s="10">
        <v>0</v>
      </c>
      <c r="L153" s="4">
        <v>210</v>
      </c>
      <c r="M153" s="4">
        <v>100</v>
      </c>
      <c r="N153" s="19" t="s">
        <v>117</v>
      </c>
      <c r="O153" s="4"/>
      <c r="P153" s="12">
        <v>0</v>
      </c>
    </row>
    <row r="154" spans="1:16" ht="14.25" x14ac:dyDescent="0.15">
      <c r="A154" s="2">
        <v>4615</v>
      </c>
      <c r="B154" s="3" t="s">
        <v>354</v>
      </c>
      <c r="C154" s="4" t="s">
        <v>326</v>
      </c>
      <c r="D154" s="4">
        <v>133</v>
      </c>
      <c r="E154" s="4">
        <f t="shared" si="0"/>
        <v>4</v>
      </c>
      <c r="F154" s="4">
        <v>7</v>
      </c>
      <c r="G154" s="13">
        <v>0</v>
      </c>
      <c r="I154" s="13">
        <v>1</v>
      </c>
      <c r="K154" s="10">
        <v>0</v>
      </c>
      <c r="L154" s="4">
        <v>210</v>
      </c>
      <c r="M154" s="4">
        <v>100</v>
      </c>
      <c r="N154" s="19" t="s">
        <v>117</v>
      </c>
      <c r="O154" s="4"/>
      <c r="P154" s="12">
        <v>0</v>
      </c>
    </row>
    <row r="155" spans="1:16" ht="14.25" x14ac:dyDescent="0.15">
      <c r="A155" s="2">
        <v>4616</v>
      </c>
      <c r="B155" s="3" t="s">
        <v>355</v>
      </c>
      <c r="C155" s="4" t="s">
        <v>327</v>
      </c>
      <c r="D155" s="4">
        <v>134</v>
      </c>
      <c r="E155" s="4">
        <f t="shared" si="0"/>
        <v>4</v>
      </c>
      <c r="F155" s="4">
        <v>7</v>
      </c>
      <c r="G155" s="13">
        <v>0</v>
      </c>
      <c r="I155" s="13">
        <v>1</v>
      </c>
      <c r="K155" s="10">
        <v>0</v>
      </c>
      <c r="L155" s="4">
        <v>210</v>
      </c>
      <c r="M155" s="4">
        <v>100</v>
      </c>
      <c r="N155" s="19" t="s">
        <v>117</v>
      </c>
      <c r="O155" s="4"/>
      <c r="P155" s="12">
        <v>0</v>
      </c>
    </row>
    <row r="156" spans="1:16" ht="14.25" x14ac:dyDescent="0.15">
      <c r="A156" s="2">
        <v>4617</v>
      </c>
      <c r="B156" s="3" t="s">
        <v>356</v>
      </c>
      <c r="C156" s="4" t="s">
        <v>328</v>
      </c>
      <c r="D156" s="4">
        <v>131</v>
      </c>
      <c r="E156" s="4">
        <f t="shared" si="0"/>
        <v>4</v>
      </c>
      <c r="F156" s="4">
        <v>7</v>
      </c>
      <c r="G156" s="13">
        <v>0</v>
      </c>
      <c r="I156" s="13">
        <v>1</v>
      </c>
      <c r="K156" s="10">
        <v>0</v>
      </c>
      <c r="L156" s="4">
        <v>210</v>
      </c>
      <c r="M156" s="4">
        <v>100</v>
      </c>
      <c r="N156" s="19" t="s">
        <v>117</v>
      </c>
      <c r="O156" s="4"/>
      <c r="P156" s="12">
        <v>0</v>
      </c>
    </row>
    <row r="157" spans="1:16" ht="14.25" x14ac:dyDescent="0.15">
      <c r="A157" s="2">
        <v>4618</v>
      </c>
      <c r="B157" s="3" t="s">
        <v>357</v>
      </c>
      <c r="C157" s="4" t="s">
        <v>329</v>
      </c>
      <c r="D157" s="4">
        <v>132</v>
      </c>
      <c r="E157" s="4">
        <f t="shared" si="0"/>
        <v>4</v>
      </c>
      <c r="F157" s="4">
        <v>7</v>
      </c>
      <c r="G157" s="13">
        <v>0</v>
      </c>
      <c r="I157" s="13">
        <v>1</v>
      </c>
      <c r="K157" s="10">
        <v>0</v>
      </c>
      <c r="L157" s="4">
        <v>210</v>
      </c>
      <c r="M157" s="4">
        <v>100</v>
      </c>
      <c r="N157" s="19" t="s">
        <v>117</v>
      </c>
      <c r="O157" s="4"/>
      <c r="P157" s="12">
        <v>0</v>
      </c>
    </row>
    <row r="158" spans="1:16" ht="14.25" x14ac:dyDescent="0.15">
      <c r="A158" s="2">
        <v>4619</v>
      </c>
      <c r="B158" s="3" t="s">
        <v>358</v>
      </c>
      <c r="C158" s="4" t="s">
        <v>330</v>
      </c>
      <c r="D158" s="4">
        <v>133</v>
      </c>
      <c r="E158" s="4">
        <f t="shared" si="0"/>
        <v>4</v>
      </c>
      <c r="F158" s="4">
        <v>7</v>
      </c>
      <c r="G158" s="13">
        <v>0</v>
      </c>
      <c r="I158" s="13">
        <v>1</v>
      </c>
      <c r="K158" s="10">
        <v>0</v>
      </c>
      <c r="L158" s="4">
        <v>210</v>
      </c>
      <c r="M158" s="4">
        <v>100</v>
      </c>
      <c r="N158" s="19" t="s">
        <v>117</v>
      </c>
      <c r="O158" s="4"/>
      <c r="P158" s="12">
        <v>0</v>
      </c>
    </row>
    <row r="159" spans="1:16" ht="14.25" x14ac:dyDescent="0.15">
      <c r="A159" s="2">
        <v>4620</v>
      </c>
      <c r="B159" s="3" t="s">
        <v>359</v>
      </c>
      <c r="C159" s="4" t="s">
        <v>331</v>
      </c>
      <c r="D159" s="4">
        <v>134</v>
      </c>
      <c r="E159" s="4">
        <f t="shared" si="0"/>
        <v>4</v>
      </c>
      <c r="F159" s="4">
        <v>7</v>
      </c>
      <c r="G159" s="13">
        <v>0</v>
      </c>
      <c r="I159" s="13">
        <v>1</v>
      </c>
      <c r="K159" s="10">
        <v>0</v>
      </c>
      <c r="L159" s="4">
        <v>210</v>
      </c>
      <c r="M159" s="4">
        <v>100</v>
      </c>
      <c r="N159" s="19" t="s">
        <v>117</v>
      </c>
      <c r="O159" s="4"/>
      <c r="P159" s="12">
        <v>0</v>
      </c>
    </row>
    <row r="160" spans="1:16" ht="14.25" x14ac:dyDescent="0.15">
      <c r="A160" s="2">
        <v>4621</v>
      </c>
      <c r="B160" s="3" t="s">
        <v>360</v>
      </c>
      <c r="C160" s="4" t="s">
        <v>332</v>
      </c>
      <c r="D160" s="4">
        <v>141</v>
      </c>
      <c r="E160" s="4">
        <f t="shared" si="0"/>
        <v>5</v>
      </c>
      <c r="F160" s="4">
        <v>7</v>
      </c>
      <c r="G160" s="13">
        <v>0</v>
      </c>
      <c r="I160" s="13">
        <v>1</v>
      </c>
      <c r="K160" s="10">
        <v>0</v>
      </c>
      <c r="L160" s="4">
        <v>210</v>
      </c>
      <c r="M160" s="4">
        <v>100</v>
      </c>
      <c r="N160" s="19" t="s">
        <v>117</v>
      </c>
      <c r="O160" s="4"/>
      <c r="P160" s="12">
        <v>0</v>
      </c>
    </row>
    <row r="161" spans="1:16" ht="14.25" x14ac:dyDescent="0.15">
      <c r="A161" s="2">
        <v>4622</v>
      </c>
      <c r="B161" s="3" t="s">
        <v>361</v>
      </c>
      <c r="C161" s="4" t="s">
        <v>333</v>
      </c>
      <c r="D161" s="4">
        <v>142</v>
      </c>
      <c r="E161" s="4">
        <f t="shared" si="0"/>
        <v>5</v>
      </c>
      <c r="F161" s="4">
        <v>7</v>
      </c>
      <c r="G161" s="13">
        <v>0</v>
      </c>
      <c r="I161" s="13">
        <v>1</v>
      </c>
      <c r="K161" s="10">
        <v>0</v>
      </c>
      <c r="L161" s="4">
        <v>210</v>
      </c>
      <c r="M161" s="4">
        <v>100</v>
      </c>
      <c r="N161" s="19" t="s">
        <v>117</v>
      </c>
      <c r="O161" s="4"/>
      <c r="P161" s="12">
        <v>0</v>
      </c>
    </row>
    <row r="162" spans="1:16" ht="14.25" x14ac:dyDescent="0.15">
      <c r="A162" s="2">
        <v>4623</v>
      </c>
      <c r="B162" s="3" t="s">
        <v>362</v>
      </c>
      <c r="C162" s="4" t="s">
        <v>334</v>
      </c>
      <c r="D162" s="4">
        <v>143</v>
      </c>
      <c r="E162" s="4">
        <f t="shared" si="0"/>
        <v>5</v>
      </c>
      <c r="F162" s="4">
        <v>7</v>
      </c>
      <c r="G162" s="13">
        <v>0</v>
      </c>
      <c r="I162" s="13">
        <v>1</v>
      </c>
      <c r="K162" s="10">
        <v>0</v>
      </c>
      <c r="L162" s="4">
        <v>210</v>
      </c>
      <c r="M162" s="4">
        <v>100</v>
      </c>
      <c r="N162" s="19" t="s">
        <v>117</v>
      </c>
      <c r="O162" s="4"/>
      <c r="P162" s="12">
        <v>0</v>
      </c>
    </row>
    <row r="163" spans="1:16" ht="14.25" x14ac:dyDescent="0.15">
      <c r="A163" s="2">
        <v>4624</v>
      </c>
      <c r="B163" s="3" t="s">
        <v>363</v>
      </c>
      <c r="C163" s="4" t="s">
        <v>335</v>
      </c>
      <c r="D163" s="4">
        <v>144</v>
      </c>
      <c r="E163" s="4">
        <f t="shared" si="0"/>
        <v>5</v>
      </c>
      <c r="F163" s="4">
        <v>7</v>
      </c>
      <c r="G163" s="13">
        <v>0</v>
      </c>
      <c r="I163" s="13">
        <v>1</v>
      </c>
      <c r="K163" s="10">
        <v>0</v>
      </c>
      <c r="L163" s="4">
        <v>210</v>
      </c>
      <c r="M163" s="4">
        <v>100</v>
      </c>
      <c r="N163" s="19" t="s">
        <v>117</v>
      </c>
      <c r="O163" s="4"/>
      <c r="P163" s="12">
        <v>0</v>
      </c>
    </row>
    <row r="164" spans="1:16" ht="14.25" x14ac:dyDescent="0.15">
      <c r="A164" s="2">
        <v>4625</v>
      </c>
      <c r="B164" s="3" t="s">
        <v>364</v>
      </c>
      <c r="C164" s="4" t="s">
        <v>336</v>
      </c>
      <c r="D164" s="4">
        <v>141</v>
      </c>
      <c r="E164" s="4">
        <f t="shared" si="0"/>
        <v>5</v>
      </c>
      <c r="F164" s="4">
        <v>7</v>
      </c>
      <c r="G164" s="13">
        <v>0</v>
      </c>
      <c r="I164" s="13">
        <v>1</v>
      </c>
      <c r="K164" s="10">
        <v>0</v>
      </c>
      <c r="L164" s="4">
        <v>210</v>
      </c>
      <c r="M164" s="4">
        <v>100</v>
      </c>
      <c r="N164" s="19" t="s">
        <v>117</v>
      </c>
      <c r="O164" s="4"/>
      <c r="P164" s="12">
        <v>0</v>
      </c>
    </row>
    <row r="165" spans="1:16" ht="14.25" x14ac:dyDescent="0.15">
      <c r="A165" s="2">
        <v>4626</v>
      </c>
      <c r="B165" s="3" t="s">
        <v>365</v>
      </c>
      <c r="C165" s="4" t="s">
        <v>333</v>
      </c>
      <c r="D165" s="4">
        <v>142</v>
      </c>
      <c r="E165" s="4">
        <f t="shared" si="0"/>
        <v>5</v>
      </c>
      <c r="F165" s="4">
        <v>7</v>
      </c>
      <c r="G165" s="13">
        <v>0</v>
      </c>
      <c r="I165" s="13">
        <v>1</v>
      </c>
      <c r="K165" s="10">
        <v>0</v>
      </c>
      <c r="L165" s="4">
        <v>210</v>
      </c>
      <c r="M165" s="4">
        <v>100</v>
      </c>
      <c r="N165" s="19" t="s">
        <v>117</v>
      </c>
      <c r="O165" s="4"/>
      <c r="P165" s="12">
        <v>0</v>
      </c>
    </row>
    <row r="166" spans="1:16" ht="14.25" x14ac:dyDescent="0.15">
      <c r="A166" s="2">
        <v>4627</v>
      </c>
      <c r="B166" s="3" t="s">
        <v>366</v>
      </c>
      <c r="C166" s="4" t="s">
        <v>337</v>
      </c>
      <c r="D166" s="4">
        <v>143</v>
      </c>
      <c r="E166" s="4">
        <f t="shared" si="0"/>
        <v>5</v>
      </c>
      <c r="F166" s="4">
        <v>7</v>
      </c>
      <c r="G166" s="13">
        <v>0</v>
      </c>
      <c r="I166" s="13">
        <v>1</v>
      </c>
      <c r="K166" s="10">
        <v>0</v>
      </c>
      <c r="L166" s="4">
        <v>210</v>
      </c>
      <c r="M166" s="4">
        <v>100</v>
      </c>
      <c r="N166" s="19" t="s">
        <v>117</v>
      </c>
      <c r="O166" s="4"/>
      <c r="P166" s="12">
        <v>0</v>
      </c>
    </row>
    <row r="167" spans="1:16" ht="14.25" x14ac:dyDescent="0.15">
      <c r="A167" s="2">
        <v>4628</v>
      </c>
      <c r="B167" s="3" t="s">
        <v>367</v>
      </c>
      <c r="C167" s="4" t="s">
        <v>338</v>
      </c>
      <c r="D167" s="4">
        <v>144</v>
      </c>
      <c r="E167" s="4">
        <f t="shared" si="0"/>
        <v>5</v>
      </c>
      <c r="F167" s="4">
        <v>7</v>
      </c>
      <c r="G167" s="13">
        <v>0</v>
      </c>
      <c r="I167" s="13">
        <v>1</v>
      </c>
      <c r="K167" s="10">
        <v>0</v>
      </c>
      <c r="L167" s="4">
        <v>210</v>
      </c>
      <c r="M167" s="4">
        <v>100</v>
      </c>
      <c r="N167" s="19" t="s">
        <v>117</v>
      </c>
      <c r="O167" s="4"/>
      <c r="P167" s="12">
        <v>0</v>
      </c>
    </row>
    <row r="168" spans="1:16" ht="14.25" x14ac:dyDescent="0.15">
      <c r="A168" s="2">
        <v>4629</v>
      </c>
      <c r="B168" s="3" t="s">
        <v>368</v>
      </c>
      <c r="C168" s="4" t="s">
        <v>339</v>
      </c>
      <c r="D168" s="4">
        <v>151</v>
      </c>
      <c r="E168" s="4">
        <f t="shared" si="0"/>
        <v>6</v>
      </c>
      <c r="F168" s="4">
        <v>7</v>
      </c>
      <c r="G168" s="13">
        <v>0</v>
      </c>
      <c r="I168" s="13">
        <v>1</v>
      </c>
      <c r="K168" s="10">
        <v>0</v>
      </c>
      <c r="L168" s="4">
        <v>210</v>
      </c>
      <c r="M168" s="4">
        <v>100</v>
      </c>
      <c r="N168" s="19" t="s">
        <v>117</v>
      </c>
      <c r="O168" s="4"/>
      <c r="P168" s="12">
        <v>0</v>
      </c>
    </row>
    <row r="169" spans="1:16" ht="14.25" x14ac:dyDescent="0.15">
      <c r="A169" s="2">
        <v>4630</v>
      </c>
      <c r="B169" s="3" t="s">
        <v>369</v>
      </c>
      <c r="C169" s="4" t="s">
        <v>340</v>
      </c>
      <c r="D169" s="4">
        <v>152</v>
      </c>
      <c r="E169" s="4">
        <f t="shared" si="0"/>
        <v>6</v>
      </c>
      <c r="F169" s="4">
        <v>7</v>
      </c>
      <c r="G169" s="13">
        <v>0</v>
      </c>
      <c r="I169" s="13">
        <v>1</v>
      </c>
      <c r="K169" s="10">
        <v>0</v>
      </c>
      <c r="L169" s="4">
        <v>210</v>
      </c>
      <c r="M169" s="4">
        <v>100</v>
      </c>
      <c r="N169" s="19" t="s">
        <v>117</v>
      </c>
      <c r="O169" s="4"/>
      <c r="P169" s="12">
        <v>0</v>
      </c>
    </row>
    <row r="170" spans="1:16" ht="14.25" x14ac:dyDescent="0.15">
      <c r="A170" s="2">
        <v>4631</v>
      </c>
      <c r="B170" s="3" t="s">
        <v>370</v>
      </c>
      <c r="C170" s="4" t="s">
        <v>341</v>
      </c>
      <c r="D170" s="4">
        <v>153</v>
      </c>
      <c r="E170" s="4">
        <f t="shared" si="0"/>
        <v>6</v>
      </c>
      <c r="F170" s="4">
        <v>7</v>
      </c>
      <c r="G170" s="13">
        <v>0</v>
      </c>
      <c r="I170" s="13">
        <v>1</v>
      </c>
      <c r="K170" s="10">
        <v>0</v>
      </c>
      <c r="L170" s="4">
        <v>210</v>
      </c>
      <c r="M170" s="4">
        <v>100</v>
      </c>
      <c r="N170" s="19" t="s">
        <v>117</v>
      </c>
      <c r="O170" s="4"/>
      <c r="P170" s="12">
        <v>0</v>
      </c>
    </row>
    <row r="171" spans="1:16" ht="14.25" x14ac:dyDescent="0.15">
      <c r="A171" s="2">
        <v>4632</v>
      </c>
      <c r="B171" s="3" t="s">
        <v>371</v>
      </c>
      <c r="C171" s="4" t="s">
        <v>342</v>
      </c>
      <c r="D171" s="4">
        <v>154</v>
      </c>
      <c r="E171" s="4">
        <f t="shared" si="0"/>
        <v>6</v>
      </c>
      <c r="F171" s="4">
        <v>7</v>
      </c>
      <c r="G171" s="13">
        <v>0</v>
      </c>
      <c r="I171" s="13">
        <v>1</v>
      </c>
      <c r="K171" s="10">
        <v>0</v>
      </c>
      <c r="L171" s="4">
        <v>210</v>
      </c>
      <c r="M171" s="4">
        <v>100</v>
      </c>
      <c r="N171" s="19" t="s">
        <v>117</v>
      </c>
      <c r="O171" s="4"/>
      <c r="P171" s="12">
        <v>0</v>
      </c>
    </row>
    <row r="172" spans="1:16" ht="14.25" x14ac:dyDescent="0.15">
      <c r="A172" s="2">
        <v>4633</v>
      </c>
      <c r="B172" s="3" t="s">
        <v>372</v>
      </c>
      <c r="C172" s="4" t="s">
        <v>339</v>
      </c>
      <c r="D172" s="4">
        <v>151</v>
      </c>
      <c r="E172" s="4">
        <f t="shared" si="0"/>
        <v>6</v>
      </c>
      <c r="F172" s="4">
        <v>7</v>
      </c>
      <c r="G172" s="13">
        <v>0</v>
      </c>
      <c r="I172" s="13">
        <v>1</v>
      </c>
      <c r="K172" s="10">
        <v>0</v>
      </c>
      <c r="L172" s="4">
        <v>210</v>
      </c>
      <c r="M172" s="4">
        <v>100</v>
      </c>
      <c r="N172" s="19" t="s">
        <v>117</v>
      </c>
      <c r="O172" s="4"/>
      <c r="P172" s="12">
        <v>0</v>
      </c>
    </row>
    <row r="173" spans="1:16" ht="14.25" x14ac:dyDescent="0.15">
      <c r="A173" s="2">
        <v>4634</v>
      </c>
      <c r="B173" s="3" t="s">
        <v>373</v>
      </c>
      <c r="C173" s="4" t="s">
        <v>343</v>
      </c>
      <c r="D173" s="4">
        <v>152</v>
      </c>
      <c r="E173" s="4">
        <f t="shared" si="0"/>
        <v>6</v>
      </c>
      <c r="F173" s="4">
        <v>7</v>
      </c>
      <c r="G173" s="13">
        <v>0</v>
      </c>
      <c r="I173" s="13">
        <v>1</v>
      </c>
      <c r="K173" s="10">
        <v>0</v>
      </c>
      <c r="L173" s="4">
        <v>210</v>
      </c>
      <c r="M173" s="4">
        <v>100</v>
      </c>
      <c r="N173" s="19" t="s">
        <v>117</v>
      </c>
      <c r="O173" s="4"/>
      <c r="P173" s="12">
        <v>0</v>
      </c>
    </row>
    <row r="174" spans="1:16" ht="14.25" x14ac:dyDescent="0.15">
      <c r="A174" s="2">
        <v>4635</v>
      </c>
      <c r="B174" s="3" t="s">
        <v>374</v>
      </c>
      <c r="C174" s="4" t="s">
        <v>341</v>
      </c>
      <c r="D174" s="4">
        <v>153</v>
      </c>
      <c r="E174" s="4">
        <f t="shared" si="0"/>
        <v>6</v>
      </c>
      <c r="F174" s="4">
        <v>7</v>
      </c>
      <c r="G174" s="13">
        <v>0</v>
      </c>
      <c r="I174" s="13">
        <v>1</v>
      </c>
      <c r="K174" s="10">
        <v>0</v>
      </c>
      <c r="L174" s="4">
        <v>210</v>
      </c>
      <c r="M174" s="4">
        <v>100</v>
      </c>
      <c r="N174" s="19" t="s">
        <v>117</v>
      </c>
      <c r="O174" s="4"/>
      <c r="P174" s="12">
        <v>0</v>
      </c>
    </row>
    <row r="175" spans="1:16" ht="14.25" x14ac:dyDescent="0.15">
      <c r="A175" s="2">
        <v>4636</v>
      </c>
      <c r="B175" s="3" t="s">
        <v>375</v>
      </c>
      <c r="C175" s="4" t="s">
        <v>342</v>
      </c>
      <c r="D175" s="4">
        <v>154</v>
      </c>
      <c r="E175" s="4">
        <f t="shared" si="0"/>
        <v>6</v>
      </c>
      <c r="F175" s="4">
        <v>7</v>
      </c>
      <c r="G175" s="13">
        <v>0</v>
      </c>
      <c r="I175" s="13">
        <v>1</v>
      </c>
      <c r="K175" s="10">
        <v>0</v>
      </c>
      <c r="L175" s="4">
        <v>210</v>
      </c>
      <c r="M175" s="4">
        <v>100</v>
      </c>
      <c r="N175" s="19" t="s">
        <v>117</v>
      </c>
      <c r="O175" s="4"/>
      <c r="P175" s="12">
        <v>0</v>
      </c>
    </row>
    <row r="176" spans="1:16" ht="14.25" x14ac:dyDescent="0.15">
      <c r="A176" s="2">
        <v>4637</v>
      </c>
      <c r="B176" s="3" t="s">
        <v>376</v>
      </c>
      <c r="C176" s="4" t="s">
        <v>384</v>
      </c>
      <c r="D176" s="4">
        <v>161</v>
      </c>
      <c r="E176" s="4">
        <f t="shared" si="0"/>
        <v>7</v>
      </c>
      <c r="F176" s="4">
        <v>7</v>
      </c>
      <c r="G176" s="13">
        <v>0</v>
      </c>
      <c r="I176" s="13">
        <v>1</v>
      </c>
      <c r="K176" s="10">
        <v>0</v>
      </c>
      <c r="L176" s="4">
        <v>210</v>
      </c>
      <c r="M176" s="4">
        <v>100</v>
      </c>
      <c r="N176" s="19" t="s">
        <v>117</v>
      </c>
      <c r="O176" s="4"/>
      <c r="P176" s="12">
        <v>0</v>
      </c>
    </row>
    <row r="177" spans="1:16" ht="14.25" x14ac:dyDescent="0.15">
      <c r="A177" s="2">
        <v>4638</v>
      </c>
      <c r="B177" s="3" t="s">
        <v>377</v>
      </c>
      <c r="C177" s="4" t="s">
        <v>385</v>
      </c>
      <c r="D177" s="4">
        <v>162</v>
      </c>
      <c r="E177" s="4">
        <f t="shared" si="0"/>
        <v>7</v>
      </c>
      <c r="F177" s="4">
        <v>7</v>
      </c>
      <c r="G177" s="13">
        <v>0</v>
      </c>
      <c r="I177" s="13">
        <v>1</v>
      </c>
      <c r="K177" s="10">
        <v>0</v>
      </c>
      <c r="L177" s="4">
        <v>210</v>
      </c>
      <c r="M177" s="4">
        <v>100</v>
      </c>
      <c r="N177" s="19" t="s">
        <v>117</v>
      </c>
      <c r="O177" s="4"/>
      <c r="P177" s="12">
        <v>0</v>
      </c>
    </row>
    <row r="178" spans="1:16" ht="14.25" x14ac:dyDescent="0.15">
      <c r="A178" s="2">
        <v>4639</v>
      </c>
      <c r="B178" s="3" t="s">
        <v>378</v>
      </c>
      <c r="C178" s="4" t="s">
        <v>386</v>
      </c>
      <c r="D178" s="4">
        <v>163</v>
      </c>
      <c r="E178" s="4">
        <f t="shared" si="0"/>
        <v>7</v>
      </c>
      <c r="F178" s="4">
        <v>7</v>
      </c>
      <c r="G178" s="13">
        <v>0</v>
      </c>
      <c r="I178" s="13">
        <v>1</v>
      </c>
      <c r="K178" s="10">
        <v>0</v>
      </c>
      <c r="L178" s="4">
        <v>210</v>
      </c>
      <c r="M178" s="4">
        <v>100</v>
      </c>
      <c r="N178" s="19" t="s">
        <v>117</v>
      </c>
      <c r="O178" s="4"/>
      <c r="P178" s="12">
        <v>0</v>
      </c>
    </row>
    <row r="179" spans="1:16" ht="14.25" x14ac:dyDescent="0.15">
      <c r="A179" s="2">
        <v>4640</v>
      </c>
      <c r="B179" s="3" t="s">
        <v>379</v>
      </c>
      <c r="C179" s="4" t="s">
        <v>387</v>
      </c>
      <c r="D179" s="4">
        <v>164</v>
      </c>
      <c r="E179" s="4">
        <f t="shared" si="0"/>
        <v>7</v>
      </c>
      <c r="F179" s="4">
        <v>7</v>
      </c>
      <c r="G179" s="13">
        <v>0</v>
      </c>
      <c r="I179" s="13">
        <v>1</v>
      </c>
      <c r="K179" s="10">
        <v>0</v>
      </c>
      <c r="L179" s="4">
        <v>210</v>
      </c>
      <c r="M179" s="4">
        <v>100</v>
      </c>
      <c r="N179" s="19" t="s">
        <v>117</v>
      </c>
      <c r="O179" s="4"/>
      <c r="P179" s="12">
        <v>0</v>
      </c>
    </row>
    <row r="180" spans="1:16" ht="14.25" x14ac:dyDescent="0.15">
      <c r="A180" s="2">
        <v>4641</v>
      </c>
      <c r="B180" s="3" t="s">
        <v>380</v>
      </c>
      <c r="C180" s="4" t="s">
        <v>384</v>
      </c>
      <c r="D180" s="4">
        <v>161</v>
      </c>
      <c r="E180" s="4">
        <f t="shared" si="0"/>
        <v>7</v>
      </c>
      <c r="F180" s="4">
        <v>7</v>
      </c>
      <c r="G180" s="13">
        <v>0</v>
      </c>
      <c r="I180" s="13">
        <v>1</v>
      </c>
      <c r="K180" s="10">
        <v>0</v>
      </c>
      <c r="L180" s="4">
        <v>210</v>
      </c>
      <c r="M180" s="4">
        <v>100</v>
      </c>
      <c r="N180" s="19" t="s">
        <v>117</v>
      </c>
      <c r="O180" s="4"/>
      <c r="P180" s="12">
        <v>0</v>
      </c>
    </row>
    <row r="181" spans="1:16" ht="14.25" x14ac:dyDescent="0.15">
      <c r="A181" s="2">
        <v>4642</v>
      </c>
      <c r="B181" s="3" t="s">
        <v>381</v>
      </c>
      <c r="C181" s="4" t="s">
        <v>385</v>
      </c>
      <c r="D181" s="4">
        <v>162</v>
      </c>
      <c r="E181" s="4">
        <f t="shared" si="0"/>
        <v>7</v>
      </c>
      <c r="F181" s="4">
        <v>7</v>
      </c>
      <c r="G181" s="13">
        <v>0</v>
      </c>
      <c r="I181" s="13">
        <v>1</v>
      </c>
      <c r="K181" s="10">
        <v>0</v>
      </c>
      <c r="L181" s="4">
        <v>210</v>
      </c>
      <c r="M181" s="4">
        <v>100</v>
      </c>
      <c r="N181" s="19" t="s">
        <v>117</v>
      </c>
      <c r="O181" s="4"/>
      <c r="P181" s="12">
        <v>0</v>
      </c>
    </row>
    <row r="182" spans="1:16" ht="14.25" x14ac:dyDescent="0.15">
      <c r="A182" s="2">
        <v>4643</v>
      </c>
      <c r="B182" s="3" t="s">
        <v>382</v>
      </c>
      <c r="C182" s="4" t="s">
        <v>386</v>
      </c>
      <c r="D182" s="4">
        <v>163</v>
      </c>
      <c r="E182" s="4">
        <f t="shared" si="0"/>
        <v>7</v>
      </c>
      <c r="F182" s="4">
        <v>7</v>
      </c>
      <c r="G182" s="13">
        <v>0</v>
      </c>
      <c r="I182" s="13">
        <v>1</v>
      </c>
      <c r="K182" s="10">
        <v>0</v>
      </c>
      <c r="L182" s="4">
        <v>210</v>
      </c>
      <c r="M182" s="4">
        <v>100</v>
      </c>
      <c r="N182" s="19" t="s">
        <v>117</v>
      </c>
      <c r="O182" s="4"/>
      <c r="P182" s="12">
        <v>0</v>
      </c>
    </row>
    <row r="183" spans="1:16" ht="14.25" x14ac:dyDescent="0.15">
      <c r="A183" s="2">
        <v>4644</v>
      </c>
      <c r="B183" s="3" t="s">
        <v>383</v>
      </c>
      <c r="C183" s="4" t="s">
        <v>387</v>
      </c>
      <c r="D183" s="4">
        <v>164</v>
      </c>
      <c r="E183" s="4">
        <f t="shared" si="0"/>
        <v>7</v>
      </c>
      <c r="F183" s="4">
        <v>7</v>
      </c>
      <c r="G183" s="13">
        <v>0</v>
      </c>
      <c r="I183" s="13">
        <v>1</v>
      </c>
      <c r="K183" s="10">
        <v>0</v>
      </c>
      <c r="L183" s="4">
        <v>210</v>
      </c>
      <c r="M183" s="4">
        <v>100</v>
      </c>
      <c r="N183" s="19" t="s">
        <v>117</v>
      </c>
      <c r="O183" s="4"/>
      <c r="P183" s="12">
        <v>0</v>
      </c>
    </row>
    <row r="184" spans="1:16" ht="14.25" x14ac:dyDescent="0.15">
      <c r="A184" s="8">
        <v>4701</v>
      </c>
      <c r="B184" s="29" t="s">
        <v>443</v>
      </c>
      <c r="C184" s="29" t="s">
        <v>443</v>
      </c>
      <c r="D184" s="1">
        <v>5050</v>
      </c>
      <c r="E184" s="1">
        <v>3</v>
      </c>
      <c r="F184" s="1">
        <v>16</v>
      </c>
      <c r="G184" s="13">
        <v>0</v>
      </c>
      <c r="I184" s="13">
        <v>1</v>
      </c>
      <c r="K184" s="10">
        <v>0</v>
      </c>
      <c r="L184" s="4">
        <v>210</v>
      </c>
      <c r="M184" s="4">
        <v>100</v>
      </c>
      <c r="N184" s="19" t="s">
        <v>117</v>
      </c>
      <c r="O184" s="4"/>
      <c r="P184" s="12">
        <v>0</v>
      </c>
    </row>
    <row r="185" spans="1:16" ht="14.25" x14ac:dyDescent="0.15">
      <c r="A185" s="8">
        <v>4702</v>
      </c>
      <c r="B185" s="29" t="s">
        <v>444</v>
      </c>
      <c r="C185" s="29" t="s">
        <v>444</v>
      </c>
      <c r="D185" s="1">
        <v>5050</v>
      </c>
      <c r="E185" s="1">
        <v>3</v>
      </c>
      <c r="F185" s="1">
        <v>16</v>
      </c>
      <c r="G185" s="13">
        <v>0</v>
      </c>
      <c r="I185" s="13">
        <v>1</v>
      </c>
      <c r="K185" s="10">
        <v>0</v>
      </c>
      <c r="L185" s="4">
        <v>210</v>
      </c>
      <c r="M185" s="4">
        <v>100</v>
      </c>
      <c r="N185" s="19" t="s">
        <v>117</v>
      </c>
      <c r="O185" s="4"/>
      <c r="P185" s="12">
        <v>0</v>
      </c>
    </row>
    <row r="186" spans="1:16" ht="14.25" x14ac:dyDescent="0.15">
      <c r="A186" s="8">
        <v>4703</v>
      </c>
      <c r="B186" s="29" t="s">
        <v>445</v>
      </c>
      <c r="C186" s="29" t="s">
        <v>445</v>
      </c>
      <c r="D186" s="1">
        <v>5050</v>
      </c>
      <c r="E186" s="1">
        <v>3</v>
      </c>
      <c r="F186" s="1">
        <v>16</v>
      </c>
      <c r="G186" s="13">
        <v>0</v>
      </c>
      <c r="I186" s="13">
        <v>1</v>
      </c>
      <c r="K186" s="10">
        <v>0</v>
      </c>
      <c r="L186" s="4">
        <v>210</v>
      </c>
      <c r="M186" s="4">
        <v>100</v>
      </c>
      <c r="N186" s="19" t="s">
        <v>117</v>
      </c>
      <c r="O186" s="4"/>
      <c r="P186" s="12">
        <v>0</v>
      </c>
    </row>
    <row r="187" spans="1:16" ht="14.25" x14ac:dyDescent="0.15">
      <c r="A187" s="8">
        <v>4704</v>
      </c>
      <c r="B187" s="29" t="s">
        <v>446</v>
      </c>
      <c r="C187" s="29" t="s">
        <v>446</v>
      </c>
      <c r="D187" s="1">
        <v>5050</v>
      </c>
      <c r="E187" s="1">
        <v>3</v>
      </c>
      <c r="F187" s="1">
        <v>16</v>
      </c>
      <c r="G187" s="13">
        <v>0</v>
      </c>
      <c r="I187" s="13">
        <v>1</v>
      </c>
      <c r="K187" s="10">
        <v>0</v>
      </c>
      <c r="L187" s="4">
        <v>210</v>
      </c>
      <c r="M187" s="4">
        <v>100</v>
      </c>
      <c r="N187" s="19" t="s">
        <v>117</v>
      </c>
      <c r="O187" s="4"/>
      <c r="P187" s="12">
        <v>0</v>
      </c>
    </row>
    <row r="188" spans="1:16" ht="14.25" x14ac:dyDescent="0.15">
      <c r="A188" s="8">
        <v>4705</v>
      </c>
      <c r="B188" s="29" t="s">
        <v>447</v>
      </c>
      <c r="C188" s="29" t="s">
        <v>447</v>
      </c>
      <c r="D188" s="1">
        <v>5050</v>
      </c>
      <c r="E188" s="1">
        <v>3</v>
      </c>
      <c r="F188" s="1">
        <v>16</v>
      </c>
      <c r="G188" s="13">
        <v>0</v>
      </c>
      <c r="I188" s="13">
        <v>1</v>
      </c>
      <c r="K188" s="10">
        <v>0</v>
      </c>
      <c r="L188" s="4">
        <v>210</v>
      </c>
      <c r="M188" s="4">
        <v>100</v>
      </c>
      <c r="N188" s="19" t="s">
        <v>117</v>
      </c>
      <c r="O188" s="4"/>
      <c r="P188" s="12">
        <v>0</v>
      </c>
    </row>
    <row r="189" spans="1:16" ht="14.25" x14ac:dyDescent="0.15">
      <c r="A189" s="8">
        <v>4706</v>
      </c>
      <c r="B189" s="29" t="s">
        <v>448</v>
      </c>
      <c r="C189" s="29" t="s">
        <v>448</v>
      </c>
      <c r="D189" s="1">
        <v>5050</v>
      </c>
      <c r="E189" s="1">
        <v>3</v>
      </c>
      <c r="F189" s="1">
        <v>16</v>
      </c>
      <c r="G189" s="13">
        <v>0</v>
      </c>
      <c r="I189" s="13">
        <v>1</v>
      </c>
      <c r="K189" s="10">
        <v>0</v>
      </c>
      <c r="L189" s="4">
        <v>210</v>
      </c>
      <c r="M189" s="4">
        <v>100</v>
      </c>
      <c r="N189" s="19" t="s">
        <v>117</v>
      </c>
      <c r="O189" s="4"/>
      <c r="P189" s="12">
        <v>0</v>
      </c>
    </row>
    <row r="190" spans="1:16" ht="14.25" x14ac:dyDescent="0.15">
      <c r="A190" s="8">
        <v>4707</v>
      </c>
      <c r="B190" s="29" t="s">
        <v>449</v>
      </c>
      <c r="C190" s="29" t="s">
        <v>449</v>
      </c>
      <c r="D190" s="1">
        <v>5050</v>
      </c>
      <c r="E190" s="1">
        <v>3</v>
      </c>
      <c r="F190" s="1">
        <v>16</v>
      </c>
      <c r="G190" s="13">
        <v>0</v>
      </c>
      <c r="I190" s="13">
        <v>1</v>
      </c>
      <c r="K190" s="10">
        <v>0</v>
      </c>
      <c r="L190" s="4">
        <v>210</v>
      </c>
      <c r="M190" s="4">
        <v>100</v>
      </c>
      <c r="N190" s="19" t="s">
        <v>117</v>
      </c>
      <c r="O190" s="4"/>
      <c r="P190" s="12">
        <v>0</v>
      </c>
    </row>
    <row r="191" spans="1:16" ht="14.25" x14ac:dyDescent="0.15">
      <c r="A191" s="8">
        <v>4708</v>
      </c>
      <c r="B191" s="29" t="s">
        <v>450</v>
      </c>
      <c r="C191" s="29" t="s">
        <v>450</v>
      </c>
      <c r="D191" s="1">
        <v>5050</v>
      </c>
      <c r="E191" s="1">
        <v>3</v>
      </c>
      <c r="F191" s="1">
        <v>16</v>
      </c>
      <c r="G191" s="13">
        <v>0</v>
      </c>
      <c r="I191" s="13">
        <v>1</v>
      </c>
      <c r="K191" s="10">
        <v>0</v>
      </c>
      <c r="L191" s="4">
        <v>210</v>
      </c>
      <c r="M191" s="4">
        <v>100</v>
      </c>
      <c r="N191" s="19" t="s">
        <v>117</v>
      </c>
      <c r="O191" s="4"/>
      <c r="P191" s="12">
        <v>0</v>
      </c>
    </row>
    <row r="192" spans="1:16" ht="14.25" x14ac:dyDescent="0.15">
      <c r="A192" s="8">
        <v>4709</v>
      </c>
      <c r="B192" s="29" t="s">
        <v>451</v>
      </c>
      <c r="C192" s="29" t="s">
        <v>451</v>
      </c>
      <c r="D192" s="1">
        <v>5050</v>
      </c>
      <c r="E192" s="1">
        <v>3</v>
      </c>
      <c r="F192" s="1">
        <v>16</v>
      </c>
      <c r="G192" s="13">
        <v>0</v>
      </c>
      <c r="I192" s="13">
        <v>1</v>
      </c>
      <c r="K192" s="10">
        <v>0</v>
      </c>
      <c r="L192" s="4">
        <v>210</v>
      </c>
      <c r="M192" s="4">
        <v>100</v>
      </c>
      <c r="N192" s="19" t="s">
        <v>117</v>
      </c>
      <c r="O192" s="4"/>
      <c r="P192" s="12">
        <v>0</v>
      </c>
    </row>
    <row r="193" spans="1:16" ht="14.25" x14ac:dyDescent="0.15">
      <c r="A193" s="8">
        <v>4710</v>
      </c>
      <c r="B193" s="29" t="s">
        <v>452</v>
      </c>
      <c r="C193" s="29" t="s">
        <v>452</v>
      </c>
      <c r="D193" s="1">
        <v>5050</v>
      </c>
      <c r="E193" s="1">
        <v>3</v>
      </c>
      <c r="F193" s="1">
        <v>16</v>
      </c>
      <c r="G193" s="13">
        <v>0</v>
      </c>
      <c r="I193" s="13">
        <v>1</v>
      </c>
      <c r="K193" s="10">
        <v>0</v>
      </c>
      <c r="L193" s="4">
        <v>210</v>
      </c>
      <c r="M193" s="4">
        <v>100</v>
      </c>
      <c r="N193" s="19" t="s">
        <v>117</v>
      </c>
      <c r="O193" s="4"/>
      <c r="P193" s="12">
        <v>0</v>
      </c>
    </row>
    <row r="194" spans="1:16" ht="14.25" x14ac:dyDescent="0.15">
      <c r="A194" s="8">
        <v>4711</v>
      </c>
      <c r="B194" s="29" t="s">
        <v>453</v>
      </c>
      <c r="C194" s="29" t="s">
        <v>453</v>
      </c>
      <c r="D194" s="1">
        <v>5050</v>
      </c>
      <c r="E194" s="1">
        <v>3</v>
      </c>
      <c r="F194" s="1">
        <v>16</v>
      </c>
      <c r="G194" s="13">
        <v>0</v>
      </c>
      <c r="I194" s="13">
        <v>1</v>
      </c>
      <c r="K194" s="10">
        <v>0</v>
      </c>
      <c r="L194" s="4">
        <v>210</v>
      </c>
      <c r="M194" s="4">
        <v>100</v>
      </c>
      <c r="N194" s="19" t="s">
        <v>117</v>
      </c>
      <c r="O194" s="4"/>
      <c r="P194" s="12">
        <v>0</v>
      </c>
    </row>
    <row r="195" spans="1:16" ht="14.25" x14ac:dyDescent="0.15">
      <c r="A195" s="8">
        <v>4712</v>
      </c>
      <c r="B195" s="29" t="s">
        <v>454</v>
      </c>
      <c r="C195" s="29" t="s">
        <v>454</v>
      </c>
      <c r="D195" s="1">
        <v>5050</v>
      </c>
      <c r="E195" s="1">
        <v>3</v>
      </c>
      <c r="F195" s="1">
        <v>16</v>
      </c>
      <c r="G195" s="13">
        <v>0</v>
      </c>
      <c r="I195" s="13">
        <v>1</v>
      </c>
      <c r="K195" s="10">
        <v>0</v>
      </c>
      <c r="L195" s="4">
        <v>210</v>
      </c>
      <c r="M195" s="4">
        <v>100</v>
      </c>
      <c r="N195" s="19" t="s">
        <v>117</v>
      </c>
      <c r="O195" s="4"/>
      <c r="P195" s="12">
        <v>0</v>
      </c>
    </row>
    <row r="196" spans="1:16" ht="14.25" x14ac:dyDescent="0.15">
      <c r="A196" s="8">
        <v>4713</v>
      </c>
      <c r="B196" s="29" t="s">
        <v>455</v>
      </c>
      <c r="C196" s="29" t="s">
        <v>455</v>
      </c>
      <c r="D196" s="1">
        <v>5050</v>
      </c>
      <c r="E196" s="1">
        <v>3</v>
      </c>
      <c r="F196" s="1">
        <v>16</v>
      </c>
      <c r="G196" s="13">
        <v>0</v>
      </c>
      <c r="I196" s="13">
        <v>1</v>
      </c>
      <c r="K196" s="10">
        <v>0</v>
      </c>
      <c r="L196" s="4">
        <v>210</v>
      </c>
      <c r="M196" s="4">
        <v>100</v>
      </c>
      <c r="N196" s="19" t="s">
        <v>117</v>
      </c>
      <c r="O196" s="4"/>
      <c r="P196" s="12">
        <v>0</v>
      </c>
    </row>
    <row r="197" spans="1:16" ht="14.25" x14ac:dyDescent="0.15">
      <c r="A197" s="8">
        <v>4714</v>
      </c>
      <c r="B197" s="29" t="s">
        <v>456</v>
      </c>
      <c r="C197" s="29" t="s">
        <v>456</v>
      </c>
      <c r="D197" s="1">
        <v>5050</v>
      </c>
      <c r="E197" s="1">
        <v>3</v>
      </c>
      <c r="F197" s="1">
        <v>16</v>
      </c>
      <c r="G197" s="13">
        <v>0</v>
      </c>
      <c r="I197" s="13">
        <v>1</v>
      </c>
      <c r="K197" s="10">
        <v>0</v>
      </c>
      <c r="L197" s="4">
        <v>210</v>
      </c>
      <c r="M197" s="4">
        <v>100</v>
      </c>
      <c r="N197" s="19" t="s">
        <v>117</v>
      </c>
      <c r="O197" s="4"/>
      <c r="P197" s="12">
        <v>0</v>
      </c>
    </row>
    <row r="198" spans="1:16" ht="14.25" x14ac:dyDescent="0.15">
      <c r="A198" s="8">
        <v>4715</v>
      </c>
      <c r="B198" s="29" t="s">
        <v>457</v>
      </c>
      <c r="C198" s="29" t="s">
        <v>457</v>
      </c>
      <c r="D198" s="1">
        <v>5050</v>
      </c>
      <c r="E198" s="1">
        <v>3</v>
      </c>
      <c r="F198" s="1">
        <v>16</v>
      </c>
      <c r="G198" s="13">
        <v>0</v>
      </c>
      <c r="I198" s="13">
        <v>1</v>
      </c>
      <c r="K198" s="10">
        <v>0</v>
      </c>
      <c r="L198" s="4">
        <v>210</v>
      </c>
      <c r="M198" s="4">
        <v>100</v>
      </c>
      <c r="N198" s="19" t="s">
        <v>117</v>
      </c>
      <c r="O198" s="4"/>
      <c r="P198" s="12">
        <v>0</v>
      </c>
    </row>
    <row r="199" spans="1:16" ht="14.25" x14ac:dyDescent="0.15">
      <c r="A199" s="8">
        <v>4716</v>
      </c>
      <c r="B199" s="29" t="s">
        <v>458</v>
      </c>
      <c r="C199" s="29" t="s">
        <v>458</v>
      </c>
      <c r="D199" s="1">
        <v>5050</v>
      </c>
      <c r="E199" s="1">
        <v>3</v>
      </c>
      <c r="F199" s="1">
        <v>16</v>
      </c>
      <c r="G199" s="13">
        <v>0</v>
      </c>
      <c r="I199" s="13">
        <v>1</v>
      </c>
      <c r="K199" s="10">
        <v>0</v>
      </c>
      <c r="L199" s="4">
        <v>210</v>
      </c>
      <c r="M199" s="4">
        <v>100</v>
      </c>
      <c r="N199" s="19" t="s">
        <v>117</v>
      </c>
      <c r="O199" s="4"/>
      <c r="P199" s="12">
        <v>0</v>
      </c>
    </row>
    <row r="200" spans="1:16" ht="14.25" x14ac:dyDescent="0.15">
      <c r="A200" s="8">
        <v>4717</v>
      </c>
      <c r="B200" s="29" t="s">
        <v>459</v>
      </c>
      <c r="C200" s="29" t="s">
        <v>459</v>
      </c>
      <c r="D200" s="1">
        <v>5050</v>
      </c>
      <c r="E200" s="1">
        <v>3</v>
      </c>
      <c r="F200" s="1">
        <v>16</v>
      </c>
      <c r="G200" s="13">
        <v>0</v>
      </c>
      <c r="I200" s="13">
        <v>1</v>
      </c>
      <c r="K200" s="10">
        <v>0</v>
      </c>
      <c r="L200" s="4">
        <v>210</v>
      </c>
      <c r="M200" s="4">
        <v>100</v>
      </c>
      <c r="N200" s="19" t="s">
        <v>117</v>
      </c>
      <c r="O200" s="4"/>
      <c r="P200" s="12">
        <v>0</v>
      </c>
    </row>
    <row r="201" spans="1:16" ht="14.25" x14ac:dyDescent="0.15">
      <c r="A201" s="8">
        <v>4718</v>
      </c>
      <c r="B201" s="29" t="s">
        <v>460</v>
      </c>
      <c r="C201" s="29" t="s">
        <v>460</v>
      </c>
      <c r="D201" s="1">
        <v>5050</v>
      </c>
      <c r="E201" s="1">
        <v>3</v>
      </c>
      <c r="F201" s="1">
        <v>16</v>
      </c>
      <c r="G201" s="13">
        <v>0</v>
      </c>
      <c r="I201" s="13">
        <v>1</v>
      </c>
      <c r="K201" s="10">
        <v>0</v>
      </c>
      <c r="L201" s="4">
        <v>210</v>
      </c>
      <c r="M201" s="4">
        <v>100</v>
      </c>
      <c r="N201" s="19" t="s">
        <v>117</v>
      </c>
      <c r="O201" s="4"/>
      <c r="P201" s="12">
        <v>0</v>
      </c>
    </row>
    <row r="202" spans="1:16" ht="14.25" x14ac:dyDescent="0.15">
      <c r="A202" s="8">
        <v>4719</v>
      </c>
      <c r="B202" s="29" t="s">
        <v>461</v>
      </c>
      <c r="C202" s="29" t="s">
        <v>461</v>
      </c>
      <c r="D202" s="1">
        <v>5050</v>
      </c>
      <c r="E202" s="1">
        <v>3</v>
      </c>
      <c r="F202" s="1">
        <v>16</v>
      </c>
      <c r="G202" s="13">
        <v>0</v>
      </c>
      <c r="I202" s="13">
        <v>1</v>
      </c>
      <c r="K202" s="10">
        <v>0</v>
      </c>
      <c r="L202" s="4">
        <v>210</v>
      </c>
      <c r="M202" s="4">
        <v>100</v>
      </c>
      <c r="N202" s="19" t="s">
        <v>117</v>
      </c>
      <c r="O202" s="4"/>
      <c r="P202" s="12">
        <v>0</v>
      </c>
    </row>
    <row r="203" spans="1:16" ht="14.25" x14ac:dyDescent="0.15">
      <c r="A203" s="8">
        <v>4720</v>
      </c>
      <c r="B203" s="29" t="s">
        <v>462</v>
      </c>
      <c r="C203" s="29" t="s">
        <v>462</v>
      </c>
      <c r="D203" s="1">
        <v>5050</v>
      </c>
      <c r="E203" s="1">
        <v>3</v>
      </c>
      <c r="F203" s="1">
        <v>16</v>
      </c>
      <c r="G203" s="13">
        <v>0</v>
      </c>
      <c r="I203" s="13">
        <v>1</v>
      </c>
      <c r="K203" s="10">
        <v>0</v>
      </c>
      <c r="L203" s="4">
        <v>210</v>
      </c>
      <c r="M203" s="4">
        <v>100</v>
      </c>
      <c r="N203" s="19" t="s">
        <v>117</v>
      </c>
      <c r="O203" s="4"/>
      <c r="P203" s="12">
        <v>0</v>
      </c>
    </row>
    <row r="204" spans="1:16" ht="14.25" x14ac:dyDescent="0.15">
      <c r="A204" s="8">
        <v>4721</v>
      </c>
      <c r="B204" s="29" t="s">
        <v>463</v>
      </c>
      <c r="C204" s="29" t="s">
        <v>463</v>
      </c>
      <c r="D204" s="1">
        <v>5050</v>
      </c>
      <c r="E204" s="1">
        <v>3</v>
      </c>
      <c r="F204" s="1">
        <v>16</v>
      </c>
      <c r="G204" s="13">
        <v>0</v>
      </c>
      <c r="I204" s="13">
        <v>1</v>
      </c>
      <c r="K204" s="10">
        <v>0</v>
      </c>
      <c r="L204" s="4">
        <v>210</v>
      </c>
      <c r="M204" s="4">
        <v>100</v>
      </c>
      <c r="N204" s="19" t="s">
        <v>117</v>
      </c>
      <c r="O204" s="4"/>
      <c r="P204" s="12">
        <v>0</v>
      </c>
    </row>
    <row r="205" spans="1:16" ht="14.25" x14ac:dyDescent="0.15">
      <c r="A205" s="8">
        <v>4722</v>
      </c>
      <c r="B205" s="29" t="s">
        <v>464</v>
      </c>
      <c r="C205" s="29" t="s">
        <v>464</v>
      </c>
      <c r="D205" s="1">
        <v>5050</v>
      </c>
      <c r="E205" s="1">
        <v>3</v>
      </c>
      <c r="F205" s="1">
        <v>16</v>
      </c>
      <c r="G205" s="13">
        <v>0</v>
      </c>
      <c r="I205" s="13">
        <v>1</v>
      </c>
      <c r="K205" s="10">
        <v>0</v>
      </c>
      <c r="L205" s="4">
        <v>210</v>
      </c>
      <c r="M205" s="4">
        <v>100</v>
      </c>
      <c r="N205" s="19" t="s">
        <v>117</v>
      </c>
      <c r="O205" s="4"/>
      <c r="P205" s="12">
        <v>0</v>
      </c>
    </row>
    <row r="206" spans="1:16" ht="14.25" x14ac:dyDescent="0.15">
      <c r="A206" s="8">
        <v>4723</v>
      </c>
      <c r="B206" s="29" t="s">
        <v>465</v>
      </c>
      <c r="C206" s="29" t="s">
        <v>465</v>
      </c>
      <c r="D206" s="1">
        <v>5050</v>
      </c>
      <c r="E206" s="1">
        <v>3</v>
      </c>
      <c r="F206" s="1">
        <v>16</v>
      </c>
      <c r="G206" s="13">
        <v>0</v>
      </c>
      <c r="I206" s="13">
        <v>1</v>
      </c>
      <c r="K206" s="10">
        <v>0</v>
      </c>
      <c r="L206" s="4">
        <v>210</v>
      </c>
      <c r="M206" s="4">
        <v>100</v>
      </c>
      <c r="N206" s="19" t="s">
        <v>117</v>
      </c>
      <c r="O206" s="4"/>
      <c r="P206" s="12">
        <v>0</v>
      </c>
    </row>
    <row r="207" spans="1:16" ht="14.25" x14ac:dyDescent="0.15">
      <c r="A207" s="8">
        <v>4724</v>
      </c>
      <c r="B207" s="29" t="s">
        <v>466</v>
      </c>
      <c r="C207" s="29" t="s">
        <v>466</v>
      </c>
      <c r="D207" s="1">
        <v>5050</v>
      </c>
      <c r="E207" s="1">
        <v>3</v>
      </c>
      <c r="F207" s="1">
        <v>16</v>
      </c>
      <c r="G207" s="13">
        <v>0</v>
      </c>
      <c r="I207" s="13">
        <v>1</v>
      </c>
      <c r="K207" s="10">
        <v>0</v>
      </c>
      <c r="L207" s="4">
        <v>210</v>
      </c>
      <c r="M207" s="4">
        <v>100</v>
      </c>
      <c r="N207" s="19" t="s">
        <v>117</v>
      </c>
      <c r="O207" s="4"/>
      <c r="P207" s="12">
        <v>0</v>
      </c>
    </row>
    <row r="208" spans="1:16" ht="14.25" x14ac:dyDescent="0.15">
      <c r="A208" s="8">
        <v>4725</v>
      </c>
      <c r="B208" s="29" t="s">
        <v>467</v>
      </c>
      <c r="C208" s="29" t="s">
        <v>467</v>
      </c>
      <c r="D208" s="1">
        <v>5050</v>
      </c>
      <c r="E208" s="1">
        <v>3</v>
      </c>
      <c r="F208" s="1">
        <v>16</v>
      </c>
      <c r="G208" s="13">
        <v>0</v>
      </c>
      <c r="I208" s="13">
        <v>1</v>
      </c>
      <c r="K208" s="10">
        <v>0</v>
      </c>
      <c r="L208" s="4">
        <v>210</v>
      </c>
      <c r="M208" s="4">
        <v>100</v>
      </c>
      <c r="N208" s="19" t="s">
        <v>117</v>
      </c>
      <c r="O208" s="4"/>
      <c r="P208" s="12">
        <v>0</v>
      </c>
    </row>
    <row r="209" spans="1:16" ht="14.25" x14ac:dyDescent="0.15">
      <c r="A209" s="8">
        <v>4726</v>
      </c>
      <c r="B209" s="29" t="s">
        <v>468</v>
      </c>
      <c r="C209" s="29" t="s">
        <v>468</v>
      </c>
      <c r="D209" s="1">
        <v>5050</v>
      </c>
      <c r="E209" s="1">
        <v>3</v>
      </c>
      <c r="F209" s="1">
        <v>16</v>
      </c>
      <c r="G209" s="13">
        <v>0</v>
      </c>
      <c r="I209" s="13">
        <v>1</v>
      </c>
      <c r="K209" s="10">
        <v>0</v>
      </c>
      <c r="L209" s="4">
        <v>210</v>
      </c>
      <c r="M209" s="4">
        <v>100</v>
      </c>
      <c r="N209" s="19" t="s">
        <v>117</v>
      </c>
      <c r="O209" s="4"/>
      <c r="P209" s="12">
        <v>0</v>
      </c>
    </row>
    <row r="210" spans="1:16" ht="14.25" x14ac:dyDescent="0.15">
      <c r="A210" s="8">
        <v>4727</v>
      </c>
      <c r="B210" s="29" t="s">
        <v>469</v>
      </c>
      <c r="C210" s="29" t="s">
        <v>469</v>
      </c>
      <c r="D210" s="1">
        <v>5050</v>
      </c>
      <c r="E210" s="1">
        <v>3</v>
      </c>
      <c r="F210" s="1">
        <v>16</v>
      </c>
      <c r="G210" s="13">
        <v>0</v>
      </c>
      <c r="I210" s="13">
        <v>1</v>
      </c>
      <c r="K210" s="10">
        <v>0</v>
      </c>
      <c r="L210" s="4">
        <v>210</v>
      </c>
      <c r="M210" s="4">
        <v>100</v>
      </c>
      <c r="N210" s="19" t="s">
        <v>117</v>
      </c>
      <c r="O210" s="4"/>
      <c r="P210" s="12">
        <v>0</v>
      </c>
    </row>
    <row r="211" spans="1:16" ht="14.25" x14ac:dyDescent="0.15">
      <c r="A211" s="8">
        <v>4728</v>
      </c>
      <c r="B211" s="29" t="s">
        <v>470</v>
      </c>
      <c r="C211" s="29" t="s">
        <v>470</v>
      </c>
      <c r="D211" s="1">
        <v>5050</v>
      </c>
      <c r="E211" s="1">
        <v>3</v>
      </c>
      <c r="F211" s="1">
        <v>16</v>
      </c>
      <c r="G211" s="13">
        <v>0</v>
      </c>
      <c r="I211" s="13">
        <v>1</v>
      </c>
      <c r="K211" s="10">
        <v>0</v>
      </c>
      <c r="L211" s="4">
        <v>210</v>
      </c>
      <c r="M211" s="4">
        <v>100</v>
      </c>
      <c r="N211" s="19" t="s">
        <v>117</v>
      </c>
      <c r="O211" s="4"/>
      <c r="P211" s="12">
        <v>0</v>
      </c>
    </row>
    <row r="212" spans="1:16" ht="14.25" x14ac:dyDescent="0.15">
      <c r="A212" s="8">
        <v>4729</v>
      </c>
      <c r="B212" s="29" t="s">
        <v>471</v>
      </c>
      <c r="C212" s="29" t="s">
        <v>471</v>
      </c>
      <c r="D212" s="1">
        <v>5050</v>
      </c>
      <c r="E212" s="1">
        <v>3</v>
      </c>
      <c r="F212" s="1">
        <v>16</v>
      </c>
      <c r="G212" s="13">
        <v>0</v>
      </c>
      <c r="I212" s="13">
        <v>1</v>
      </c>
      <c r="K212" s="10">
        <v>0</v>
      </c>
      <c r="L212" s="4">
        <v>210</v>
      </c>
      <c r="M212" s="4">
        <v>100</v>
      </c>
      <c r="N212" s="19" t="s">
        <v>117</v>
      </c>
      <c r="O212" s="4"/>
      <c r="P212" s="12">
        <v>0</v>
      </c>
    </row>
    <row r="213" spans="1:16" ht="14.25" x14ac:dyDescent="0.15">
      <c r="A213" s="8">
        <v>4730</v>
      </c>
      <c r="B213" s="29" t="s">
        <v>472</v>
      </c>
      <c r="C213" s="29" t="s">
        <v>472</v>
      </c>
      <c r="D213" s="1">
        <v>5050</v>
      </c>
      <c r="E213" s="1">
        <v>3</v>
      </c>
      <c r="F213" s="1">
        <v>16</v>
      </c>
      <c r="G213" s="13">
        <v>0</v>
      </c>
      <c r="I213" s="13">
        <v>1</v>
      </c>
      <c r="K213" s="10">
        <v>0</v>
      </c>
      <c r="L213" s="4">
        <v>210</v>
      </c>
      <c r="M213" s="4">
        <v>100</v>
      </c>
      <c r="N213" s="19" t="s">
        <v>117</v>
      </c>
      <c r="O213" s="4"/>
      <c r="P213" s="12">
        <v>0</v>
      </c>
    </row>
    <row r="214" spans="1:16" ht="14.25" x14ac:dyDescent="0.15">
      <c r="A214" s="8">
        <v>4731</v>
      </c>
      <c r="B214" s="29" t="s">
        <v>473</v>
      </c>
      <c r="C214" s="29" t="s">
        <v>473</v>
      </c>
      <c r="D214" s="1">
        <v>5050</v>
      </c>
      <c r="E214" s="1">
        <v>3</v>
      </c>
      <c r="F214" s="1">
        <v>16</v>
      </c>
      <c r="G214" s="13">
        <v>0</v>
      </c>
      <c r="I214" s="13">
        <v>1</v>
      </c>
      <c r="K214" s="10">
        <v>0</v>
      </c>
      <c r="L214" s="4">
        <v>210</v>
      </c>
      <c r="M214" s="4">
        <v>100</v>
      </c>
      <c r="N214" s="19" t="s">
        <v>117</v>
      </c>
      <c r="O214" s="4"/>
      <c r="P214" s="12">
        <v>0</v>
      </c>
    </row>
    <row r="215" spans="1:16" ht="14.25" x14ac:dyDescent="0.15">
      <c r="A215" s="8">
        <v>4732</v>
      </c>
      <c r="B215" s="29" t="s">
        <v>474</v>
      </c>
      <c r="C215" s="29" t="s">
        <v>474</v>
      </c>
      <c r="D215" s="1">
        <v>5050</v>
      </c>
      <c r="E215" s="1">
        <v>3</v>
      </c>
      <c r="F215" s="1">
        <v>16</v>
      </c>
      <c r="G215" s="13">
        <v>0</v>
      </c>
      <c r="I215" s="13">
        <v>1</v>
      </c>
      <c r="K215" s="10">
        <v>0</v>
      </c>
      <c r="L215" s="4">
        <v>210</v>
      </c>
      <c r="M215" s="4">
        <v>100</v>
      </c>
      <c r="N215" s="19" t="s">
        <v>117</v>
      </c>
      <c r="O215" s="4"/>
      <c r="P215" s="12">
        <v>0</v>
      </c>
    </row>
    <row r="216" spans="1:16" ht="14.25" x14ac:dyDescent="0.15">
      <c r="A216" s="8">
        <v>4733</v>
      </c>
      <c r="B216" s="29" t="s">
        <v>475</v>
      </c>
      <c r="C216" s="29" t="s">
        <v>475</v>
      </c>
      <c r="D216" s="1">
        <v>5050</v>
      </c>
      <c r="E216" s="1">
        <v>3</v>
      </c>
      <c r="F216" s="1">
        <v>16</v>
      </c>
      <c r="G216" s="13">
        <v>0</v>
      </c>
      <c r="I216" s="13">
        <v>1</v>
      </c>
      <c r="K216" s="10">
        <v>0</v>
      </c>
      <c r="L216" s="4">
        <v>210</v>
      </c>
      <c r="M216" s="4">
        <v>100</v>
      </c>
      <c r="N216" s="19" t="s">
        <v>117</v>
      </c>
      <c r="O216" s="4"/>
      <c r="P216" s="12">
        <v>0</v>
      </c>
    </row>
    <row r="217" spans="1:16" ht="14.25" x14ac:dyDescent="0.15">
      <c r="A217" s="8">
        <v>4734</v>
      </c>
      <c r="B217" s="29" t="s">
        <v>476</v>
      </c>
      <c r="C217" s="29" t="s">
        <v>476</v>
      </c>
      <c r="D217" s="1">
        <v>5050</v>
      </c>
      <c r="E217" s="1">
        <v>3</v>
      </c>
      <c r="F217" s="1">
        <v>16</v>
      </c>
      <c r="G217" s="13">
        <v>0</v>
      </c>
      <c r="I217" s="13">
        <v>1</v>
      </c>
      <c r="K217" s="10">
        <v>0</v>
      </c>
      <c r="L217" s="4">
        <v>210</v>
      </c>
      <c r="M217" s="4">
        <v>100</v>
      </c>
      <c r="N217" s="19" t="s">
        <v>117</v>
      </c>
      <c r="O217" s="4"/>
      <c r="P217" s="12">
        <v>0</v>
      </c>
    </row>
    <row r="218" spans="1:16" ht="14.25" x14ac:dyDescent="0.15">
      <c r="A218" s="8">
        <v>4735</v>
      </c>
      <c r="B218" s="29" t="s">
        <v>477</v>
      </c>
      <c r="C218" s="29" t="s">
        <v>477</v>
      </c>
      <c r="D218" s="1">
        <v>5050</v>
      </c>
      <c r="E218" s="1">
        <v>3</v>
      </c>
      <c r="F218" s="1">
        <v>16</v>
      </c>
      <c r="G218" s="13">
        <v>0</v>
      </c>
      <c r="I218" s="13">
        <v>1</v>
      </c>
      <c r="K218" s="10">
        <v>0</v>
      </c>
      <c r="L218" s="4">
        <v>210</v>
      </c>
      <c r="M218" s="4">
        <v>100</v>
      </c>
      <c r="N218" s="19" t="s">
        <v>117</v>
      </c>
      <c r="O218" s="4"/>
      <c r="P218" s="12">
        <v>0</v>
      </c>
    </row>
    <row r="219" spans="1:16" ht="14.25" x14ac:dyDescent="0.15">
      <c r="A219" s="8">
        <v>4736</v>
      </c>
      <c r="B219" s="29" t="s">
        <v>478</v>
      </c>
      <c r="C219" s="29" t="s">
        <v>478</v>
      </c>
      <c r="D219" s="1">
        <v>5050</v>
      </c>
      <c r="E219" s="1">
        <v>3</v>
      </c>
      <c r="F219" s="1">
        <v>16</v>
      </c>
      <c r="G219" s="13">
        <v>0</v>
      </c>
      <c r="I219" s="13">
        <v>1</v>
      </c>
      <c r="K219" s="10">
        <v>0</v>
      </c>
      <c r="L219" s="4">
        <v>210</v>
      </c>
      <c r="M219" s="4">
        <v>100</v>
      </c>
      <c r="N219" s="19" t="s">
        <v>117</v>
      </c>
      <c r="O219" s="4"/>
      <c r="P219" s="12">
        <v>0</v>
      </c>
    </row>
    <row r="220" spans="1:16" ht="14.25" x14ac:dyDescent="0.15">
      <c r="A220" s="8">
        <v>4737</v>
      </c>
      <c r="B220" s="29" t="s">
        <v>479</v>
      </c>
      <c r="C220" s="29" t="s">
        <v>479</v>
      </c>
      <c r="D220" s="1">
        <v>5050</v>
      </c>
      <c r="E220" s="1">
        <v>3</v>
      </c>
      <c r="F220" s="1">
        <v>16</v>
      </c>
      <c r="G220" s="13">
        <v>0</v>
      </c>
      <c r="I220" s="13">
        <v>1</v>
      </c>
      <c r="K220" s="10">
        <v>0</v>
      </c>
      <c r="L220" s="4">
        <v>210</v>
      </c>
      <c r="M220" s="4">
        <v>100</v>
      </c>
      <c r="N220" s="19" t="s">
        <v>117</v>
      </c>
      <c r="O220" s="4"/>
      <c r="P220" s="12">
        <v>0</v>
      </c>
    </row>
    <row r="221" spans="1:16" ht="14.25" x14ac:dyDescent="0.15">
      <c r="A221" s="8">
        <v>4738</v>
      </c>
      <c r="B221" s="29" t="s">
        <v>480</v>
      </c>
      <c r="C221" s="29" t="s">
        <v>480</v>
      </c>
      <c r="D221" s="1">
        <v>5050</v>
      </c>
      <c r="E221" s="1">
        <v>3</v>
      </c>
      <c r="F221" s="1">
        <v>16</v>
      </c>
      <c r="G221" s="13">
        <v>0</v>
      </c>
      <c r="I221" s="13">
        <v>1</v>
      </c>
      <c r="K221" s="10">
        <v>0</v>
      </c>
      <c r="L221" s="4">
        <v>210</v>
      </c>
      <c r="M221" s="4">
        <v>100</v>
      </c>
      <c r="N221" s="19" t="s">
        <v>117</v>
      </c>
      <c r="O221" s="4"/>
      <c r="P221" s="12">
        <v>0</v>
      </c>
    </row>
    <row r="222" spans="1:16" ht="14.25" x14ac:dyDescent="0.15">
      <c r="A222" s="8">
        <v>4739</v>
      </c>
      <c r="B222" s="29" t="s">
        <v>481</v>
      </c>
      <c r="C222" s="29" t="s">
        <v>481</v>
      </c>
      <c r="D222" s="1">
        <v>5050</v>
      </c>
      <c r="E222" s="1">
        <v>3</v>
      </c>
      <c r="F222" s="1">
        <v>16</v>
      </c>
      <c r="G222" s="13">
        <v>0</v>
      </c>
      <c r="I222" s="13">
        <v>1</v>
      </c>
      <c r="K222" s="10">
        <v>0</v>
      </c>
      <c r="L222" s="4">
        <v>210</v>
      </c>
      <c r="M222" s="4">
        <v>100</v>
      </c>
      <c r="N222" s="19" t="s">
        <v>117</v>
      </c>
      <c r="O222" s="4"/>
      <c r="P222" s="12">
        <v>0</v>
      </c>
    </row>
    <row r="223" spans="1:16" ht="14.25" x14ac:dyDescent="0.15">
      <c r="A223" s="8">
        <v>4740</v>
      </c>
      <c r="B223" s="29" t="s">
        <v>482</v>
      </c>
      <c r="C223" s="29" t="s">
        <v>482</v>
      </c>
      <c r="D223" s="1">
        <v>5050</v>
      </c>
      <c r="E223" s="1">
        <v>3</v>
      </c>
      <c r="F223" s="1">
        <v>16</v>
      </c>
      <c r="G223" s="13">
        <v>0</v>
      </c>
      <c r="I223" s="13">
        <v>1</v>
      </c>
      <c r="K223" s="10">
        <v>0</v>
      </c>
      <c r="L223" s="4">
        <v>210</v>
      </c>
      <c r="M223" s="4">
        <v>100</v>
      </c>
      <c r="N223" s="19" t="s">
        <v>117</v>
      </c>
      <c r="O223" s="4"/>
      <c r="P223" s="12">
        <v>0</v>
      </c>
    </row>
    <row r="224" spans="1:16" ht="14.25" x14ac:dyDescent="0.15">
      <c r="A224" s="8">
        <v>4741</v>
      </c>
      <c r="B224" s="29" t="s">
        <v>483</v>
      </c>
      <c r="C224" s="29" t="s">
        <v>483</v>
      </c>
      <c r="D224" s="1">
        <v>5050</v>
      </c>
      <c r="E224" s="1">
        <v>3</v>
      </c>
      <c r="F224" s="1">
        <v>16</v>
      </c>
      <c r="G224" s="13">
        <v>0</v>
      </c>
      <c r="I224" s="13">
        <v>1</v>
      </c>
      <c r="K224" s="10">
        <v>0</v>
      </c>
      <c r="L224" s="4">
        <v>210</v>
      </c>
      <c r="M224" s="4">
        <v>100</v>
      </c>
      <c r="N224" s="19" t="s">
        <v>117</v>
      </c>
      <c r="O224" s="4"/>
      <c r="P224" s="12">
        <v>0</v>
      </c>
    </row>
    <row r="225" spans="1:16" ht="14.25" x14ac:dyDescent="0.15">
      <c r="A225" s="8">
        <v>4742</v>
      </c>
      <c r="B225" s="29" t="s">
        <v>484</v>
      </c>
      <c r="C225" s="29" t="s">
        <v>484</v>
      </c>
      <c r="D225" s="1">
        <v>5050</v>
      </c>
      <c r="E225" s="1">
        <v>3</v>
      </c>
      <c r="F225" s="1">
        <v>16</v>
      </c>
      <c r="G225" s="13">
        <v>0</v>
      </c>
      <c r="I225" s="13">
        <v>1</v>
      </c>
      <c r="K225" s="10">
        <v>0</v>
      </c>
      <c r="L225" s="4">
        <v>210</v>
      </c>
      <c r="M225" s="4">
        <v>100</v>
      </c>
      <c r="N225" s="19" t="s">
        <v>117</v>
      </c>
      <c r="O225" s="4"/>
      <c r="P225" s="12">
        <v>0</v>
      </c>
    </row>
    <row r="226" spans="1:16" ht="14.25" x14ac:dyDescent="0.15">
      <c r="A226" s="8">
        <v>4801</v>
      </c>
      <c r="B226" s="29" t="s">
        <v>485</v>
      </c>
      <c r="C226" s="29" t="s">
        <v>485</v>
      </c>
      <c r="D226" s="1">
        <v>5050</v>
      </c>
      <c r="E226" s="1">
        <v>4</v>
      </c>
      <c r="F226" s="1">
        <v>16</v>
      </c>
      <c r="G226" s="13">
        <v>0</v>
      </c>
      <c r="I226" s="13">
        <v>1</v>
      </c>
      <c r="K226" s="10">
        <v>0</v>
      </c>
      <c r="L226" s="4">
        <v>210</v>
      </c>
      <c r="M226" s="4">
        <v>100</v>
      </c>
      <c r="N226" s="19" t="s">
        <v>117</v>
      </c>
      <c r="O226" s="4"/>
      <c r="P226" s="12">
        <v>0</v>
      </c>
    </row>
    <row r="227" spans="1:16" ht="14.25" x14ac:dyDescent="0.15">
      <c r="A227" s="8">
        <v>4802</v>
      </c>
      <c r="B227" s="29" t="s">
        <v>486</v>
      </c>
      <c r="C227" s="29" t="s">
        <v>486</v>
      </c>
      <c r="D227" s="1">
        <v>5050</v>
      </c>
      <c r="E227" s="1">
        <v>4</v>
      </c>
      <c r="F227" s="1">
        <v>16</v>
      </c>
      <c r="G227" s="13">
        <v>0</v>
      </c>
      <c r="I227" s="13">
        <v>1</v>
      </c>
      <c r="K227" s="10">
        <v>0</v>
      </c>
      <c r="L227" s="4">
        <v>210</v>
      </c>
      <c r="M227" s="4">
        <v>100</v>
      </c>
      <c r="N227" s="19" t="s">
        <v>117</v>
      </c>
      <c r="O227" s="4"/>
      <c r="P227" s="12">
        <v>0</v>
      </c>
    </row>
    <row r="228" spans="1:16" ht="14.25" x14ac:dyDescent="0.15">
      <c r="A228" s="8">
        <v>4803</v>
      </c>
      <c r="B228" s="29" t="s">
        <v>487</v>
      </c>
      <c r="C228" s="29" t="s">
        <v>487</v>
      </c>
      <c r="D228" s="1">
        <v>5050</v>
      </c>
      <c r="E228" s="1">
        <v>4</v>
      </c>
      <c r="F228" s="1">
        <v>16</v>
      </c>
      <c r="G228" s="13">
        <v>0</v>
      </c>
      <c r="I228" s="13">
        <v>1</v>
      </c>
      <c r="K228" s="10">
        <v>0</v>
      </c>
      <c r="L228" s="4">
        <v>210</v>
      </c>
      <c r="M228" s="4">
        <v>100</v>
      </c>
      <c r="N228" s="19" t="s">
        <v>117</v>
      </c>
      <c r="O228" s="4"/>
      <c r="P228" s="12">
        <v>0</v>
      </c>
    </row>
    <row r="229" spans="1:16" ht="14.25" x14ac:dyDescent="0.15">
      <c r="A229" s="8">
        <v>4804</v>
      </c>
      <c r="B229" s="29" t="s">
        <v>488</v>
      </c>
      <c r="C229" s="29" t="s">
        <v>488</v>
      </c>
      <c r="D229" s="1">
        <v>5050</v>
      </c>
      <c r="E229" s="1">
        <v>4</v>
      </c>
      <c r="F229" s="1">
        <v>16</v>
      </c>
      <c r="G229" s="13">
        <v>0</v>
      </c>
      <c r="I229" s="13">
        <v>1</v>
      </c>
      <c r="K229" s="10">
        <v>0</v>
      </c>
      <c r="L229" s="4">
        <v>210</v>
      </c>
      <c r="M229" s="4">
        <v>100</v>
      </c>
      <c r="N229" s="19" t="s">
        <v>117</v>
      </c>
      <c r="O229" s="4"/>
      <c r="P229" s="12">
        <v>0</v>
      </c>
    </row>
    <row r="230" spans="1:16" ht="14.25" x14ac:dyDescent="0.15">
      <c r="A230" s="8">
        <v>4805</v>
      </c>
      <c r="B230" s="29" t="s">
        <v>489</v>
      </c>
      <c r="C230" s="29" t="s">
        <v>489</v>
      </c>
      <c r="D230" s="1">
        <v>5050</v>
      </c>
      <c r="E230" s="1">
        <v>4</v>
      </c>
      <c r="F230" s="1">
        <v>16</v>
      </c>
      <c r="G230" s="13">
        <v>0</v>
      </c>
      <c r="I230" s="13">
        <v>1</v>
      </c>
      <c r="K230" s="10">
        <v>0</v>
      </c>
      <c r="L230" s="4">
        <v>210</v>
      </c>
      <c r="M230" s="4">
        <v>100</v>
      </c>
      <c r="N230" s="19" t="s">
        <v>117</v>
      </c>
      <c r="O230" s="4"/>
      <c r="P230" s="12">
        <v>0</v>
      </c>
    </row>
    <row r="231" spans="1:16" ht="14.25" x14ac:dyDescent="0.15">
      <c r="A231" s="8">
        <v>4806</v>
      </c>
      <c r="B231" s="29" t="s">
        <v>490</v>
      </c>
      <c r="C231" s="29" t="s">
        <v>490</v>
      </c>
      <c r="D231" s="1">
        <v>5050</v>
      </c>
      <c r="E231" s="1">
        <v>4</v>
      </c>
      <c r="F231" s="1">
        <v>16</v>
      </c>
      <c r="G231" s="13">
        <v>0</v>
      </c>
      <c r="I231" s="13">
        <v>1</v>
      </c>
      <c r="K231" s="10">
        <v>0</v>
      </c>
      <c r="L231" s="4">
        <v>210</v>
      </c>
      <c r="M231" s="4">
        <v>100</v>
      </c>
      <c r="N231" s="19" t="s">
        <v>117</v>
      </c>
      <c r="O231" s="4"/>
      <c r="P231" s="12">
        <v>0</v>
      </c>
    </row>
    <row r="232" spans="1:16" ht="14.25" x14ac:dyDescent="0.15">
      <c r="A232" s="8">
        <v>4807</v>
      </c>
      <c r="B232" s="29" t="s">
        <v>491</v>
      </c>
      <c r="C232" s="29" t="s">
        <v>491</v>
      </c>
      <c r="D232" s="1">
        <v>5050</v>
      </c>
      <c r="E232" s="1">
        <v>4</v>
      </c>
      <c r="F232" s="1">
        <v>16</v>
      </c>
      <c r="G232" s="13">
        <v>0</v>
      </c>
      <c r="I232" s="13">
        <v>1</v>
      </c>
      <c r="K232" s="10">
        <v>0</v>
      </c>
      <c r="L232" s="4">
        <v>210</v>
      </c>
      <c r="M232" s="4">
        <v>100</v>
      </c>
      <c r="N232" s="19" t="s">
        <v>117</v>
      </c>
      <c r="O232" s="4"/>
      <c r="P232" s="12">
        <v>0</v>
      </c>
    </row>
    <row r="233" spans="1:16" ht="14.25" x14ac:dyDescent="0.15">
      <c r="A233" s="8">
        <v>4808</v>
      </c>
      <c r="B233" s="29" t="s">
        <v>492</v>
      </c>
      <c r="C233" s="29" t="s">
        <v>492</v>
      </c>
      <c r="D233" s="1">
        <v>5050</v>
      </c>
      <c r="E233" s="1">
        <v>4</v>
      </c>
      <c r="F233" s="1">
        <v>16</v>
      </c>
      <c r="G233" s="13">
        <v>0</v>
      </c>
      <c r="I233" s="13">
        <v>1</v>
      </c>
      <c r="K233" s="10">
        <v>0</v>
      </c>
      <c r="L233" s="4">
        <v>210</v>
      </c>
      <c r="M233" s="4">
        <v>100</v>
      </c>
      <c r="N233" s="19" t="s">
        <v>117</v>
      </c>
      <c r="O233" s="4"/>
      <c r="P233" s="12">
        <v>0</v>
      </c>
    </row>
    <row r="234" spans="1:16" ht="14.25" x14ac:dyDescent="0.15">
      <c r="A234" s="8">
        <v>4809</v>
      </c>
      <c r="B234" s="29" t="s">
        <v>493</v>
      </c>
      <c r="C234" s="29" t="s">
        <v>493</v>
      </c>
      <c r="D234" s="1">
        <v>5050</v>
      </c>
      <c r="E234" s="1">
        <v>4</v>
      </c>
      <c r="F234" s="1">
        <v>16</v>
      </c>
      <c r="G234" s="13">
        <v>0</v>
      </c>
      <c r="I234" s="13">
        <v>1</v>
      </c>
      <c r="K234" s="10">
        <v>0</v>
      </c>
      <c r="L234" s="4">
        <v>210</v>
      </c>
      <c r="M234" s="4">
        <v>100</v>
      </c>
      <c r="N234" s="19" t="s">
        <v>117</v>
      </c>
      <c r="O234" s="4"/>
      <c r="P234" s="12">
        <v>0</v>
      </c>
    </row>
    <row r="235" spans="1:16" ht="14.25" x14ac:dyDescent="0.15">
      <c r="A235" s="8">
        <v>4810</v>
      </c>
      <c r="B235" s="29" t="s">
        <v>494</v>
      </c>
      <c r="C235" s="29" t="s">
        <v>494</v>
      </c>
      <c r="D235" s="1">
        <v>5050</v>
      </c>
      <c r="E235" s="1">
        <v>4</v>
      </c>
      <c r="F235" s="1">
        <v>16</v>
      </c>
      <c r="G235" s="13">
        <v>0</v>
      </c>
      <c r="I235" s="13">
        <v>1</v>
      </c>
      <c r="K235" s="10">
        <v>0</v>
      </c>
      <c r="L235" s="4">
        <v>210</v>
      </c>
      <c r="M235" s="4">
        <v>100</v>
      </c>
      <c r="N235" s="19" t="s">
        <v>117</v>
      </c>
      <c r="O235" s="4"/>
      <c r="P235" s="12">
        <v>0</v>
      </c>
    </row>
    <row r="236" spans="1:16" ht="14.25" x14ac:dyDescent="0.15">
      <c r="A236" s="8">
        <v>4811</v>
      </c>
      <c r="B236" s="29" t="s">
        <v>495</v>
      </c>
      <c r="C236" s="29" t="s">
        <v>495</v>
      </c>
      <c r="D236" s="1">
        <v>5050</v>
      </c>
      <c r="E236" s="1">
        <v>4</v>
      </c>
      <c r="F236" s="1">
        <v>16</v>
      </c>
      <c r="G236" s="13">
        <v>0</v>
      </c>
      <c r="I236" s="13">
        <v>1</v>
      </c>
      <c r="K236" s="10">
        <v>0</v>
      </c>
      <c r="L236" s="4">
        <v>210</v>
      </c>
      <c r="M236" s="4">
        <v>100</v>
      </c>
      <c r="N236" s="19" t="s">
        <v>117</v>
      </c>
      <c r="O236" s="4"/>
      <c r="P236" s="12">
        <v>0</v>
      </c>
    </row>
    <row r="237" spans="1:16" ht="14.25" x14ac:dyDescent="0.15">
      <c r="A237" s="8">
        <v>4812</v>
      </c>
      <c r="B237" s="29" t="s">
        <v>496</v>
      </c>
      <c r="C237" s="29" t="s">
        <v>496</v>
      </c>
      <c r="D237" s="1">
        <v>5050</v>
      </c>
      <c r="E237" s="1">
        <v>4</v>
      </c>
      <c r="F237" s="1">
        <v>16</v>
      </c>
      <c r="G237" s="13">
        <v>0</v>
      </c>
      <c r="I237" s="13">
        <v>1</v>
      </c>
      <c r="K237" s="10">
        <v>0</v>
      </c>
      <c r="L237" s="4">
        <v>210</v>
      </c>
      <c r="M237" s="4">
        <v>100</v>
      </c>
      <c r="N237" s="19" t="s">
        <v>117</v>
      </c>
      <c r="O237" s="4"/>
      <c r="P237" s="12">
        <v>0</v>
      </c>
    </row>
    <row r="238" spans="1:16" ht="14.25" x14ac:dyDescent="0.15">
      <c r="A238" s="8">
        <v>4813</v>
      </c>
      <c r="B238" s="29" t="s">
        <v>497</v>
      </c>
      <c r="C238" s="29" t="s">
        <v>497</v>
      </c>
      <c r="D238" s="1">
        <v>5050</v>
      </c>
      <c r="E238" s="1">
        <v>4</v>
      </c>
      <c r="F238" s="1">
        <v>16</v>
      </c>
      <c r="G238" s="13">
        <v>0</v>
      </c>
      <c r="I238" s="13">
        <v>1</v>
      </c>
      <c r="K238" s="10">
        <v>0</v>
      </c>
      <c r="L238" s="4">
        <v>210</v>
      </c>
      <c r="M238" s="4">
        <v>100</v>
      </c>
      <c r="N238" s="19" t="s">
        <v>117</v>
      </c>
      <c r="O238" s="4"/>
      <c r="P238" s="12">
        <v>0</v>
      </c>
    </row>
    <row r="239" spans="1:16" ht="14.25" x14ac:dyDescent="0.15">
      <c r="A239" s="8">
        <v>4814</v>
      </c>
      <c r="B239" s="29" t="s">
        <v>498</v>
      </c>
      <c r="C239" s="29" t="s">
        <v>498</v>
      </c>
      <c r="D239" s="1">
        <v>5050</v>
      </c>
      <c r="E239" s="1">
        <v>4</v>
      </c>
      <c r="F239" s="1">
        <v>16</v>
      </c>
      <c r="G239" s="13">
        <v>0</v>
      </c>
      <c r="I239" s="13">
        <v>1</v>
      </c>
      <c r="K239" s="10">
        <v>0</v>
      </c>
      <c r="L239" s="4">
        <v>210</v>
      </c>
      <c r="M239" s="4">
        <v>100</v>
      </c>
      <c r="N239" s="19" t="s">
        <v>117</v>
      </c>
      <c r="O239" s="4"/>
      <c r="P239" s="12">
        <v>0</v>
      </c>
    </row>
    <row r="240" spans="1:16" ht="14.25" x14ac:dyDescent="0.15">
      <c r="A240" s="8">
        <v>4815</v>
      </c>
      <c r="B240" s="29" t="s">
        <v>499</v>
      </c>
      <c r="C240" s="29" t="s">
        <v>499</v>
      </c>
      <c r="D240" s="1">
        <v>5050</v>
      </c>
      <c r="E240" s="1">
        <v>4</v>
      </c>
      <c r="F240" s="1">
        <v>16</v>
      </c>
      <c r="G240" s="13">
        <v>0</v>
      </c>
      <c r="I240" s="13">
        <v>1</v>
      </c>
      <c r="K240" s="10">
        <v>0</v>
      </c>
      <c r="L240" s="4">
        <v>210</v>
      </c>
      <c r="M240" s="4">
        <v>100</v>
      </c>
      <c r="N240" s="19" t="s">
        <v>117</v>
      </c>
      <c r="O240" s="4"/>
      <c r="P240" s="12">
        <v>0</v>
      </c>
    </row>
    <row r="241" spans="1:16" ht="14.25" x14ac:dyDescent="0.15">
      <c r="A241" s="8">
        <v>4816</v>
      </c>
      <c r="B241" s="29" t="s">
        <v>500</v>
      </c>
      <c r="C241" s="29" t="s">
        <v>500</v>
      </c>
      <c r="D241" s="1">
        <v>5050</v>
      </c>
      <c r="E241" s="1">
        <v>4</v>
      </c>
      <c r="F241" s="1">
        <v>16</v>
      </c>
      <c r="G241" s="13">
        <v>0</v>
      </c>
      <c r="I241" s="13">
        <v>1</v>
      </c>
      <c r="K241" s="10">
        <v>0</v>
      </c>
      <c r="L241" s="4">
        <v>210</v>
      </c>
      <c r="M241" s="4">
        <v>100</v>
      </c>
      <c r="N241" s="19" t="s">
        <v>117</v>
      </c>
      <c r="O241" s="4"/>
      <c r="P241" s="12">
        <v>0</v>
      </c>
    </row>
    <row r="242" spans="1:16" ht="14.25" x14ac:dyDescent="0.15">
      <c r="A242" s="8">
        <v>4817</v>
      </c>
      <c r="B242" s="29" t="s">
        <v>501</v>
      </c>
      <c r="C242" s="29" t="s">
        <v>501</v>
      </c>
      <c r="D242" s="1">
        <v>5050</v>
      </c>
      <c r="E242" s="1">
        <v>4</v>
      </c>
      <c r="F242" s="1">
        <v>16</v>
      </c>
      <c r="G242" s="13">
        <v>0</v>
      </c>
      <c r="I242" s="13">
        <v>1</v>
      </c>
      <c r="K242" s="10">
        <v>0</v>
      </c>
      <c r="L242" s="4">
        <v>210</v>
      </c>
      <c r="M242" s="4">
        <v>100</v>
      </c>
      <c r="N242" s="19" t="s">
        <v>117</v>
      </c>
      <c r="O242" s="4"/>
      <c r="P242" s="12">
        <v>0</v>
      </c>
    </row>
    <row r="243" spans="1:16" ht="14.25" x14ac:dyDescent="0.15">
      <c r="A243" s="8">
        <v>4818</v>
      </c>
      <c r="B243" s="29" t="s">
        <v>502</v>
      </c>
      <c r="C243" s="29" t="s">
        <v>502</v>
      </c>
      <c r="D243" s="1">
        <v>5050</v>
      </c>
      <c r="E243" s="1">
        <v>4</v>
      </c>
      <c r="F243" s="1">
        <v>16</v>
      </c>
      <c r="G243" s="13">
        <v>0</v>
      </c>
      <c r="I243" s="13">
        <v>1</v>
      </c>
      <c r="K243" s="10">
        <v>0</v>
      </c>
      <c r="L243" s="4">
        <v>210</v>
      </c>
      <c r="M243" s="4">
        <v>100</v>
      </c>
      <c r="N243" s="19" t="s">
        <v>117</v>
      </c>
      <c r="O243" s="4"/>
      <c r="P243" s="12">
        <v>0</v>
      </c>
    </row>
    <row r="244" spans="1:16" ht="14.25" x14ac:dyDescent="0.15">
      <c r="A244" s="8">
        <v>4819</v>
      </c>
      <c r="B244" s="29" t="s">
        <v>503</v>
      </c>
      <c r="C244" s="29" t="s">
        <v>503</v>
      </c>
      <c r="D244" s="1">
        <v>5050</v>
      </c>
      <c r="E244" s="1">
        <v>4</v>
      </c>
      <c r="F244" s="1">
        <v>16</v>
      </c>
      <c r="G244" s="13">
        <v>0</v>
      </c>
      <c r="I244" s="13">
        <v>1</v>
      </c>
      <c r="K244" s="10">
        <v>0</v>
      </c>
      <c r="L244" s="4">
        <v>210</v>
      </c>
      <c r="M244" s="4">
        <v>100</v>
      </c>
      <c r="N244" s="19" t="s">
        <v>117</v>
      </c>
      <c r="O244" s="4"/>
      <c r="P244" s="12">
        <v>0</v>
      </c>
    </row>
    <row r="245" spans="1:16" ht="14.25" x14ac:dyDescent="0.15">
      <c r="A245" s="8">
        <v>4820</v>
      </c>
      <c r="B245" s="29" t="s">
        <v>504</v>
      </c>
      <c r="C245" s="29" t="s">
        <v>504</v>
      </c>
      <c r="D245" s="1">
        <v>5050</v>
      </c>
      <c r="E245" s="1">
        <v>4</v>
      </c>
      <c r="F245" s="1">
        <v>16</v>
      </c>
      <c r="G245" s="13">
        <v>0</v>
      </c>
      <c r="I245" s="13">
        <v>1</v>
      </c>
      <c r="K245" s="10">
        <v>0</v>
      </c>
      <c r="L245" s="4">
        <v>210</v>
      </c>
      <c r="M245" s="4">
        <v>100</v>
      </c>
      <c r="N245" s="19" t="s">
        <v>117</v>
      </c>
      <c r="O245" s="4"/>
      <c r="P245" s="12">
        <v>0</v>
      </c>
    </row>
    <row r="246" spans="1:16" ht="14.25" x14ac:dyDescent="0.15">
      <c r="A246" s="8">
        <v>4821</v>
      </c>
      <c r="B246" s="29" t="s">
        <v>505</v>
      </c>
      <c r="C246" s="29" t="s">
        <v>505</v>
      </c>
      <c r="D246" s="1">
        <v>5050</v>
      </c>
      <c r="E246" s="1">
        <v>4</v>
      </c>
      <c r="F246" s="1">
        <v>16</v>
      </c>
      <c r="G246" s="13">
        <v>0</v>
      </c>
      <c r="I246" s="13">
        <v>1</v>
      </c>
      <c r="K246" s="10">
        <v>0</v>
      </c>
      <c r="L246" s="4">
        <v>210</v>
      </c>
      <c r="M246" s="4">
        <v>100</v>
      </c>
      <c r="N246" s="19" t="s">
        <v>117</v>
      </c>
      <c r="O246" s="4"/>
      <c r="P246" s="12">
        <v>0</v>
      </c>
    </row>
    <row r="247" spans="1:16" ht="14.25" x14ac:dyDescent="0.15">
      <c r="A247" s="8">
        <v>4822</v>
      </c>
      <c r="B247" s="29" t="s">
        <v>506</v>
      </c>
      <c r="C247" s="29" t="s">
        <v>506</v>
      </c>
      <c r="D247" s="1">
        <v>5050</v>
      </c>
      <c r="E247" s="1">
        <v>4</v>
      </c>
      <c r="F247" s="1">
        <v>16</v>
      </c>
      <c r="G247" s="13">
        <v>0</v>
      </c>
      <c r="I247" s="13">
        <v>1</v>
      </c>
      <c r="K247" s="10">
        <v>0</v>
      </c>
      <c r="L247" s="4">
        <v>210</v>
      </c>
      <c r="M247" s="4">
        <v>100</v>
      </c>
      <c r="N247" s="19" t="s">
        <v>117</v>
      </c>
      <c r="O247" s="4"/>
      <c r="P247" s="12">
        <v>0</v>
      </c>
    </row>
    <row r="248" spans="1:16" ht="14.25" x14ac:dyDescent="0.15">
      <c r="A248" s="8">
        <v>4823</v>
      </c>
      <c r="B248" s="29" t="s">
        <v>507</v>
      </c>
      <c r="C248" s="29" t="s">
        <v>507</v>
      </c>
      <c r="D248" s="1">
        <v>5050</v>
      </c>
      <c r="E248" s="1">
        <v>4</v>
      </c>
      <c r="F248" s="1">
        <v>16</v>
      </c>
      <c r="G248" s="13">
        <v>0</v>
      </c>
      <c r="I248" s="13">
        <v>1</v>
      </c>
      <c r="K248" s="10">
        <v>0</v>
      </c>
      <c r="L248" s="4">
        <v>210</v>
      </c>
      <c r="M248" s="4">
        <v>100</v>
      </c>
      <c r="N248" s="19" t="s">
        <v>117</v>
      </c>
      <c r="O248" s="4"/>
      <c r="P248" s="12">
        <v>0</v>
      </c>
    </row>
    <row r="249" spans="1:16" ht="14.25" x14ac:dyDescent="0.15">
      <c r="A249" s="8">
        <v>4824</v>
      </c>
      <c r="B249" s="29" t="s">
        <v>508</v>
      </c>
      <c r="C249" s="29" t="s">
        <v>508</v>
      </c>
      <c r="D249" s="1">
        <v>5050</v>
      </c>
      <c r="E249" s="1">
        <v>4</v>
      </c>
      <c r="F249" s="1">
        <v>16</v>
      </c>
      <c r="G249" s="13">
        <v>0</v>
      </c>
      <c r="I249" s="13">
        <v>1</v>
      </c>
      <c r="K249" s="10">
        <v>0</v>
      </c>
      <c r="L249" s="4">
        <v>210</v>
      </c>
      <c r="M249" s="4">
        <v>100</v>
      </c>
      <c r="N249" s="19" t="s">
        <v>117</v>
      </c>
      <c r="O249" s="4"/>
      <c r="P249" s="12">
        <v>0</v>
      </c>
    </row>
    <row r="250" spans="1:16" ht="14.25" x14ac:dyDescent="0.15">
      <c r="A250" s="8">
        <v>4825</v>
      </c>
      <c r="B250" s="29" t="s">
        <v>509</v>
      </c>
      <c r="C250" s="29" t="s">
        <v>509</v>
      </c>
      <c r="D250" s="1">
        <v>5050</v>
      </c>
      <c r="E250" s="1">
        <v>4</v>
      </c>
      <c r="F250" s="1">
        <v>16</v>
      </c>
      <c r="G250" s="13">
        <v>0</v>
      </c>
      <c r="I250" s="13">
        <v>1</v>
      </c>
      <c r="K250" s="10">
        <v>0</v>
      </c>
      <c r="L250" s="4">
        <v>210</v>
      </c>
      <c r="M250" s="4">
        <v>100</v>
      </c>
      <c r="N250" s="19" t="s">
        <v>117</v>
      </c>
      <c r="O250" s="4"/>
      <c r="P250" s="12">
        <v>0</v>
      </c>
    </row>
    <row r="251" spans="1:16" ht="14.25" x14ac:dyDescent="0.15">
      <c r="A251" s="8">
        <v>4826</v>
      </c>
      <c r="B251" s="29" t="s">
        <v>510</v>
      </c>
      <c r="C251" s="29" t="s">
        <v>510</v>
      </c>
      <c r="D251" s="1">
        <v>5050</v>
      </c>
      <c r="E251" s="1">
        <v>4</v>
      </c>
      <c r="F251" s="1">
        <v>16</v>
      </c>
      <c r="G251" s="13">
        <v>0</v>
      </c>
      <c r="I251" s="13">
        <v>1</v>
      </c>
      <c r="K251" s="10">
        <v>0</v>
      </c>
      <c r="L251" s="4">
        <v>210</v>
      </c>
      <c r="M251" s="4">
        <v>100</v>
      </c>
      <c r="N251" s="19" t="s">
        <v>117</v>
      </c>
      <c r="O251" s="4"/>
      <c r="P251" s="12">
        <v>0</v>
      </c>
    </row>
    <row r="252" spans="1:16" ht="14.25" x14ac:dyDescent="0.15">
      <c r="A252" s="8">
        <v>4827</v>
      </c>
      <c r="B252" s="29" t="s">
        <v>511</v>
      </c>
      <c r="C252" s="29" t="s">
        <v>511</v>
      </c>
      <c r="D252" s="1">
        <v>5050</v>
      </c>
      <c r="E252" s="1">
        <v>4</v>
      </c>
      <c r="F252" s="1">
        <v>16</v>
      </c>
      <c r="G252" s="13">
        <v>0</v>
      </c>
      <c r="I252" s="13">
        <v>1</v>
      </c>
      <c r="K252" s="10">
        <v>0</v>
      </c>
      <c r="L252" s="4">
        <v>210</v>
      </c>
      <c r="M252" s="4">
        <v>100</v>
      </c>
      <c r="N252" s="19" t="s">
        <v>117</v>
      </c>
      <c r="O252" s="4"/>
      <c r="P252" s="12">
        <v>0</v>
      </c>
    </row>
    <row r="253" spans="1:16" ht="14.25" x14ac:dyDescent="0.15">
      <c r="A253" s="8">
        <v>4828</v>
      </c>
      <c r="B253" s="29" t="s">
        <v>512</v>
      </c>
      <c r="C253" s="29" t="s">
        <v>512</v>
      </c>
      <c r="D253" s="1">
        <v>5050</v>
      </c>
      <c r="E253" s="1">
        <v>4</v>
      </c>
      <c r="F253" s="1">
        <v>16</v>
      </c>
      <c r="G253" s="13">
        <v>0</v>
      </c>
      <c r="I253" s="13">
        <v>1</v>
      </c>
      <c r="K253" s="10">
        <v>0</v>
      </c>
      <c r="L253" s="4">
        <v>210</v>
      </c>
      <c r="M253" s="4">
        <v>100</v>
      </c>
      <c r="N253" s="19" t="s">
        <v>117</v>
      </c>
      <c r="O253" s="4"/>
      <c r="P253" s="12">
        <v>0</v>
      </c>
    </row>
    <row r="254" spans="1:16" ht="14.25" x14ac:dyDescent="0.15">
      <c r="A254" s="8">
        <v>4829</v>
      </c>
      <c r="B254" s="29" t="s">
        <v>513</v>
      </c>
      <c r="C254" s="29" t="s">
        <v>513</v>
      </c>
      <c r="D254" s="1">
        <v>5050</v>
      </c>
      <c r="E254" s="1">
        <v>4</v>
      </c>
      <c r="F254" s="1">
        <v>16</v>
      </c>
      <c r="G254" s="13">
        <v>0</v>
      </c>
      <c r="I254" s="13">
        <v>1</v>
      </c>
      <c r="K254" s="10">
        <v>0</v>
      </c>
      <c r="L254" s="4">
        <v>210</v>
      </c>
      <c r="M254" s="4">
        <v>100</v>
      </c>
      <c r="N254" s="19" t="s">
        <v>117</v>
      </c>
      <c r="O254" s="4"/>
      <c r="P254" s="12">
        <v>0</v>
      </c>
    </row>
    <row r="255" spans="1:16" ht="14.25" x14ac:dyDescent="0.15">
      <c r="A255" s="8">
        <v>4830</v>
      </c>
      <c r="B255" s="29" t="s">
        <v>514</v>
      </c>
      <c r="C255" s="29" t="s">
        <v>514</v>
      </c>
      <c r="D255" s="1">
        <v>5050</v>
      </c>
      <c r="E255" s="1">
        <v>4</v>
      </c>
      <c r="F255" s="1">
        <v>16</v>
      </c>
      <c r="G255" s="13">
        <v>0</v>
      </c>
      <c r="I255" s="13">
        <v>1</v>
      </c>
      <c r="K255" s="10">
        <v>0</v>
      </c>
      <c r="L255" s="4">
        <v>210</v>
      </c>
      <c r="M255" s="4">
        <v>100</v>
      </c>
      <c r="N255" s="19" t="s">
        <v>117</v>
      </c>
      <c r="O255" s="4"/>
      <c r="P255" s="12">
        <v>0</v>
      </c>
    </row>
    <row r="256" spans="1:16" ht="14.25" x14ac:dyDescent="0.15">
      <c r="A256" s="8">
        <v>4831</v>
      </c>
      <c r="B256" s="29" t="s">
        <v>515</v>
      </c>
      <c r="C256" s="29" t="s">
        <v>515</v>
      </c>
      <c r="D256" s="1">
        <v>5050</v>
      </c>
      <c r="E256" s="1">
        <v>4</v>
      </c>
      <c r="F256" s="1">
        <v>16</v>
      </c>
      <c r="G256" s="13">
        <v>0</v>
      </c>
      <c r="I256" s="13">
        <v>1</v>
      </c>
      <c r="K256" s="10">
        <v>0</v>
      </c>
      <c r="L256" s="4">
        <v>210</v>
      </c>
      <c r="M256" s="4">
        <v>100</v>
      </c>
      <c r="N256" s="19" t="s">
        <v>117</v>
      </c>
      <c r="O256" s="4"/>
      <c r="P256" s="12">
        <v>0</v>
      </c>
    </row>
    <row r="257" spans="1:16" ht="14.25" x14ac:dyDescent="0.15">
      <c r="A257" s="8">
        <v>4832</v>
      </c>
      <c r="B257" s="29" t="s">
        <v>516</v>
      </c>
      <c r="C257" s="29" t="s">
        <v>516</v>
      </c>
      <c r="D257" s="1">
        <v>5050</v>
      </c>
      <c r="E257" s="1">
        <v>4</v>
      </c>
      <c r="F257" s="1">
        <v>16</v>
      </c>
      <c r="G257" s="13">
        <v>0</v>
      </c>
      <c r="I257" s="13">
        <v>1</v>
      </c>
      <c r="K257" s="10">
        <v>0</v>
      </c>
      <c r="L257" s="4">
        <v>210</v>
      </c>
      <c r="M257" s="4">
        <v>100</v>
      </c>
      <c r="N257" s="19" t="s">
        <v>117</v>
      </c>
      <c r="O257" s="4"/>
      <c r="P257" s="12">
        <v>0</v>
      </c>
    </row>
    <row r="258" spans="1:16" ht="14.25" x14ac:dyDescent="0.15">
      <c r="A258" s="8">
        <v>4833</v>
      </c>
      <c r="B258" s="29" t="s">
        <v>517</v>
      </c>
      <c r="C258" s="29" t="s">
        <v>517</v>
      </c>
      <c r="D258" s="1">
        <v>5050</v>
      </c>
      <c r="E258" s="1">
        <v>4</v>
      </c>
      <c r="F258" s="1">
        <v>16</v>
      </c>
      <c r="G258" s="13">
        <v>0</v>
      </c>
      <c r="I258" s="13">
        <v>1</v>
      </c>
      <c r="K258" s="10">
        <v>0</v>
      </c>
      <c r="L258" s="4">
        <v>210</v>
      </c>
      <c r="M258" s="4">
        <v>100</v>
      </c>
      <c r="N258" s="19" t="s">
        <v>117</v>
      </c>
      <c r="O258" s="4"/>
      <c r="P258" s="12">
        <v>0</v>
      </c>
    </row>
    <row r="259" spans="1:16" ht="14.25" x14ac:dyDescent="0.15">
      <c r="A259" s="8">
        <v>4834</v>
      </c>
      <c r="B259" s="29" t="s">
        <v>518</v>
      </c>
      <c r="C259" s="29" t="s">
        <v>518</v>
      </c>
      <c r="D259" s="1">
        <v>5050</v>
      </c>
      <c r="E259" s="1">
        <v>4</v>
      </c>
      <c r="F259" s="1">
        <v>16</v>
      </c>
      <c r="G259" s="13">
        <v>0</v>
      </c>
      <c r="I259" s="13">
        <v>1</v>
      </c>
      <c r="K259" s="10">
        <v>0</v>
      </c>
      <c r="L259" s="4">
        <v>210</v>
      </c>
      <c r="M259" s="4">
        <v>100</v>
      </c>
      <c r="N259" s="19" t="s">
        <v>117</v>
      </c>
      <c r="O259" s="4"/>
      <c r="P259" s="12">
        <v>0</v>
      </c>
    </row>
    <row r="260" spans="1:16" ht="14.25" x14ac:dyDescent="0.15">
      <c r="A260" s="8">
        <v>4835</v>
      </c>
      <c r="B260" s="29" t="s">
        <v>519</v>
      </c>
      <c r="C260" s="29" t="s">
        <v>519</v>
      </c>
      <c r="D260" s="1">
        <v>5050</v>
      </c>
      <c r="E260" s="1">
        <v>4</v>
      </c>
      <c r="F260" s="1">
        <v>16</v>
      </c>
      <c r="G260" s="13">
        <v>0</v>
      </c>
      <c r="I260" s="13">
        <v>1</v>
      </c>
      <c r="K260" s="10">
        <v>0</v>
      </c>
      <c r="L260" s="4">
        <v>210</v>
      </c>
      <c r="M260" s="4">
        <v>100</v>
      </c>
      <c r="N260" s="19" t="s">
        <v>117</v>
      </c>
      <c r="O260" s="4"/>
      <c r="P260" s="12">
        <v>0</v>
      </c>
    </row>
    <row r="261" spans="1:16" ht="14.25" x14ac:dyDescent="0.15">
      <c r="A261" s="8">
        <v>4836</v>
      </c>
      <c r="B261" s="29" t="s">
        <v>520</v>
      </c>
      <c r="C261" s="29" t="s">
        <v>520</v>
      </c>
      <c r="D261" s="1">
        <v>5050</v>
      </c>
      <c r="E261" s="1">
        <v>4</v>
      </c>
      <c r="F261" s="1">
        <v>16</v>
      </c>
      <c r="G261" s="13">
        <v>0</v>
      </c>
      <c r="I261" s="13">
        <v>1</v>
      </c>
      <c r="K261" s="10">
        <v>0</v>
      </c>
      <c r="L261" s="4">
        <v>210</v>
      </c>
      <c r="M261" s="4">
        <v>100</v>
      </c>
      <c r="N261" s="19" t="s">
        <v>117</v>
      </c>
      <c r="O261" s="4"/>
      <c r="P261" s="12">
        <v>0</v>
      </c>
    </row>
    <row r="262" spans="1:16" ht="14.25" x14ac:dyDescent="0.15">
      <c r="A262" s="8">
        <v>4837</v>
      </c>
      <c r="B262" s="29" t="s">
        <v>521</v>
      </c>
      <c r="C262" s="29" t="s">
        <v>521</v>
      </c>
      <c r="D262" s="1">
        <v>5050</v>
      </c>
      <c r="E262" s="1">
        <v>4</v>
      </c>
      <c r="F262" s="1">
        <v>16</v>
      </c>
      <c r="G262" s="13">
        <v>0</v>
      </c>
      <c r="I262" s="13">
        <v>1</v>
      </c>
      <c r="K262" s="10">
        <v>0</v>
      </c>
      <c r="L262" s="4">
        <v>210</v>
      </c>
      <c r="M262" s="4">
        <v>100</v>
      </c>
      <c r="N262" s="19" t="s">
        <v>117</v>
      </c>
      <c r="O262" s="4"/>
      <c r="P262" s="12">
        <v>0</v>
      </c>
    </row>
    <row r="263" spans="1:16" ht="14.25" x14ac:dyDescent="0.15">
      <c r="A263" s="8">
        <v>4838</v>
      </c>
      <c r="B263" s="29" t="s">
        <v>522</v>
      </c>
      <c r="C263" s="29" t="s">
        <v>522</v>
      </c>
      <c r="D263" s="1">
        <v>5050</v>
      </c>
      <c r="E263" s="1">
        <v>4</v>
      </c>
      <c r="F263" s="1">
        <v>16</v>
      </c>
      <c r="G263" s="13">
        <v>0</v>
      </c>
      <c r="I263" s="13">
        <v>1</v>
      </c>
      <c r="K263" s="10">
        <v>0</v>
      </c>
      <c r="L263" s="4">
        <v>210</v>
      </c>
      <c r="M263" s="4">
        <v>100</v>
      </c>
      <c r="N263" s="19" t="s">
        <v>117</v>
      </c>
      <c r="O263" s="4"/>
      <c r="P263" s="12">
        <v>0</v>
      </c>
    </row>
    <row r="264" spans="1:16" ht="14.25" x14ac:dyDescent="0.15">
      <c r="A264" s="8">
        <v>4839</v>
      </c>
      <c r="B264" s="29" t="s">
        <v>523</v>
      </c>
      <c r="C264" s="29" t="s">
        <v>523</v>
      </c>
      <c r="D264" s="1">
        <v>5050</v>
      </c>
      <c r="E264" s="1">
        <v>4</v>
      </c>
      <c r="F264" s="1">
        <v>16</v>
      </c>
      <c r="G264" s="13">
        <v>0</v>
      </c>
      <c r="I264" s="13">
        <v>1</v>
      </c>
      <c r="K264" s="10">
        <v>0</v>
      </c>
      <c r="L264" s="4">
        <v>210</v>
      </c>
      <c r="M264" s="4">
        <v>100</v>
      </c>
      <c r="N264" s="19" t="s">
        <v>117</v>
      </c>
      <c r="O264" s="4"/>
      <c r="P264" s="12">
        <v>0</v>
      </c>
    </row>
    <row r="265" spans="1:16" ht="14.25" x14ac:dyDescent="0.15">
      <c r="A265" s="8">
        <v>4840</v>
      </c>
      <c r="B265" s="29" t="s">
        <v>524</v>
      </c>
      <c r="C265" s="29" t="s">
        <v>524</v>
      </c>
      <c r="D265" s="1">
        <v>5050</v>
      </c>
      <c r="E265" s="1">
        <v>4</v>
      </c>
      <c r="F265" s="1">
        <v>16</v>
      </c>
      <c r="G265" s="13">
        <v>0</v>
      </c>
      <c r="I265" s="13">
        <v>1</v>
      </c>
      <c r="K265" s="10">
        <v>0</v>
      </c>
      <c r="L265" s="4">
        <v>210</v>
      </c>
      <c r="M265" s="4">
        <v>100</v>
      </c>
      <c r="N265" s="19" t="s">
        <v>117</v>
      </c>
      <c r="O265" s="4"/>
      <c r="P265" s="12">
        <v>0</v>
      </c>
    </row>
    <row r="266" spans="1:16" ht="14.25" x14ac:dyDescent="0.15">
      <c r="A266" s="8">
        <v>4841</v>
      </c>
      <c r="B266" s="29" t="s">
        <v>525</v>
      </c>
      <c r="C266" s="29" t="s">
        <v>525</v>
      </c>
      <c r="D266" s="1">
        <v>5050</v>
      </c>
      <c r="E266" s="1">
        <v>4</v>
      </c>
      <c r="F266" s="1">
        <v>16</v>
      </c>
      <c r="G266" s="13">
        <v>0</v>
      </c>
      <c r="I266" s="13">
        <v>1</v>
      </c>
      <c r="K266" s="10">
        <v>0</v>
      </c>
      <c r="L266" s="4">
        <v>210</v>
      </c>
      <c r="M266" s="4">
        <v>100</v>
      </c>
      <c r="N266" s="19" t="s">
        <v>117</v>
      </c>
      <c r="O266" s="4"/>
      <c r="P266" s="12">
        <v>0</v>
      </c>
    </row>
    <row r="267" spans="1:16" ht="14.25" x14ac:dyDescent="0.15">
      <c r="A267" s="8">
        <v>4842</v>
      </c>
      <c r="B267" s="29" t="s">
        <v>526</v>
      </c>
      <c r="C267" s="29" t="s">
        <v>526</v>
      </c>
      <c r="D267" s="1">
        <v>5050</v>
      </c>
      <c r="E267" s="1">
        <v>4</v>
      </c>
      <c r="F267" s="1">
        <v>16</v>
      </c>
      <c r="G267" s="13">
        <v>0</v>
      </c>
      <c r="I267" s="13">
        <v>1</v>
      </c>
      <c r="K267" s="10">
        <v>0</v>
      </c>
      <c r="L267" s="4">
        <v>210</v>
      </c>
      <c r="M267" s="4">
        <v>100</v>
      </c>
      <c r="N267" s="19" t="s">
        <v>117</v>
      </c>
      <c r="O267" s="4"/>
      <c r="P267" s="12">
        <v>0</v>
      </c>
    </row>
    <row r="268" spans="1:16" ht="14.25" x14ac:dyDescent="0.15">
      <c r="A268" s="8">
        <v>4843</v>
      </c>
      <c r="B268" s="29" t="s">
        <v>527</v>
      </c>
      <c r="C268" s="29" t="s">
        <v>527</v>
      </c>
      <c r="D268" s="1">
        <v>5050</v>
      </c>
      <c r="E268" s="1">
        <v>4</v>
      </c>
      <c r="F268" s="1">
        <v>16</v>
      </c>
      <c r="G268" s="13">
        <v>0</v>
      </c>
      <c r="I268" s="13">
        <v>1</v>
      </c>
      <c r="K268" s="10">
        <v>0</v>
      </c>
      <c r="L268" s="4">
        <v>210</v>
      </c>
      <c r="M268" s="4">
        <v>100</v>
      </c>
      <c r="N268" s="19" t="s">
        <v>117</v>
      </c>
      <c r="O268" s="4"/>
      <c r="P268" s="12">
        <v>0</v>
      </c>
    </row>
    <row r="269" spans="1:16" ht="14.25" x14ac:dyDescent="0.15">
      <c r="A269" s="8">
        <v>4844</v>
      </c>
      <c r="B269" s="29" t="s">
        <v>528</v>
      </c>
      <c r="C269" s="29" t="s">
        <v>528</v>
      </c>
      <c r="D269" s="1">
        <v>5050</v>
      </c>
      <c r="E269" s="1">
        <v>4</v>
      </c>
      <c r="F269" s="1">
        <v>16</v>
      </c>
      <c r="G269" s="13">
        <v>0</v>
      </c>
      <c r="I269" s="13">
        <v>1</v>
      </c>
      <c r="K269" s="10">
        <v>0</v>
      </c>
      <c r="L269" s="4">
        <v>210</v>
      </c>
      <c r="M269" s="4">
        <v>100</v>
      </c>
      <c r="N269" s="19" t="s">
        <v>117</v>
      </c>
      <c r="O269" s="4"/>
      <c r="P269" s="12">
        <v>0</v>
      </c>
    </row>
    <row r="270" spans="1:16" ht="14.25" x14ac:dyDescent="0.15">
      <c r="A270" s="8">
        <v>4845</v>
      </c>
      <c r="B270" s="29" t="s">
        <v>529</v>
      </c>
      <c r="C270" s="29" t="s">
        <v>529</v>
      </c>
      <c r="D270" s="1">
        <v>5050</v>
      </c>
      <c r="E270" s="1">
        <v>4</v>
      </c>
      <c r="F270" s="1">
        <v>16</v>
      </c>
      <c r="G270" s="13">
        <v>0</v>
      </c>
      <c r="I270" s="13">
        <v>1</v>
      </c>
      <c r="K270" s="10">
        <v>0</v>
      </c>
      <c r="L270" s="4">
        <v>210</v>
      </c>
      <c r="M270" s="4">
        <v>100</v>
      </c>
      <c r="N270" s="19" t="s">
        <v>117</v>
      </c>
      <c r="O270" s="4"/>
      <c r="P270" s="12">
        <v>0</v>
      </c>
    </row>
    <row r="271" spans="1:16" ht="14.25" x14ac:dyDescent="0.15">
      <c r="A271" s="8">
        <v>4846</v>
      </c>
      <c r="B271" s="29" t="s">
        <v>530</v>
      </c>
      <c r="C271" s="29" t="s">
        <v>530</v>
      </c>
      <c r="D271" s="1">
        <v>5050</v>
      </c>
      <c r="E271" s="1">
        <v>4</v>
      </c>
      <c r="F271" s="1">
        <v>16</v>
      </c>
      <c r="G271" s="13">
        <v>0</v>
      </c>
      <c r="I271" s="13">
        <v>1</v>
      </c>
      <c r="K271" s="10">
        <v>0</v>
      </c>
      <c r="L271" s="4">
        <v>210</v>
      </c>
      <c r="M271" s="4">
        <v>100</v>
      </c>
      <c r="N271" s="19" t="s">
        <v>117</v>
      </c>
      <c r="O271" s="4"/>
      <c r="P271" s="12">
        <v>0</v>
      </c>
    </row>
    <row r="272" spans="1:16" ht="14.25" x14ac:dyDescent="0.15">
      <c r="A272" s="8">
        <v>4847</v>
      </c>
      <c r="B272" s="29" t="s">
        <v>531</v>
      </c>
      <c r="C272" s="29" t="s">
        <v>531</v>
      </c>
      <c r="D272" s="1">
        <v>5050</v>
      </c>
      <c r="E272" s="1">
        <v>4</v>
      </c>
      <c r="F272" s="1">
        <v>16</v>
      </c>
      <c r="G272" s="13">
        <v>0</v>
      </c>
      <c r="I272" s="13">
        <v>1</v>
      </c>
      <c r="K272" s="10">
        <v>0</v>
      </c>
      <c r="L272" s="4">
        <v>210</v>
      </c>
      <c r="M272" s="4">
        <v>100</v>
      </c>
      <c r="N272" s="19" t="s">
        <v>117</v>
      </c>
      <c r="O272" s="4"/>
      <c r="P272" s="12">
        <v>0</v>
      </c>
    </row>
    <row r="273" spans="1:16" ht="14.25" x14ac:dyDescent="0.15">
      <c r="A273" s="8">
        <v>4848</v>
      </c>
      <c r="B273" s="29" t="s">
        <v>532</v>
      </c>
      <c r="C273" s="29" t="s">
        <v>532</v>
      </c>
      <c r="D273" s="1">
        <v>5050</v>
      </c>
      <c r="E273" s="1">
        <v>4</v>
      </c>
      <c r="F273" s="1">
        <v>16</v>
      </c>
      <c r="G273" s="13">
        <v>0</v>
      </c>
      <c r="I273" s="13">
        <v>1</v>
      </c>
      <c r="K273" s="10">
        <v>0</v>
      </c>
      <c r="L273" s="4">
        <v>210</v>
      </c>
      <c r="M273" s="4">
        <v>100</v>
      </c>
      <c r="N273" s="19" t="s">
        <v>117</v>
      </c>
      <c r="O273" s="4"/>
      <c r="P273" s="12">
        <v>0</v>
      </c>
    </row>
    <row r="274" spans="1:16" ht="14.25" x14ac:dyDescent="0.15">
      <c r="A274" s="8">
        <v>4849</v>
      </c>
      <c r="B274" s="29" t="s">
        <v>533</v>
      </c>
      <c r="C274" s="29" t="s">
        <v>533</v>
      </c>
      <c r="D274" s="1">
        <v>5050</v>
      </c>
      <c r="E274" s="1">
        <v>4</v>
      </c>
      <c r="F274" s="1">
        <v>16</v>
      </c>
      <c r="G274" s="13">
        <v>0</v>
      </c>
      <c r="I274" s="13">
        <v>1</v>
      </c>
      <c r="K274" s="10">
        <v>0</v>
      </c>
      <c r="L274" s="4">
        <v>210</v>
      </c>
      <c r="M274" s="4">
        <v>100</v>
      </c>
      <c r="N274" s="19" t="s">
        <v>117</v>
      </c>
      <c r="O274" s="4"/>
      <c r="P274" s="12">
        <v>0</v>
      </c>
    </row>
    <row r="275" spans="1:16" ht="14.25" x14ac:dyDescent="0.15">
      <c r="A275" s="8">
        <v>4850</v>
      </c>
      <c r="B275" s="29" t="s">
        <v>534</v>
      </c>
      <c r="C275" s="29" t="s">
        <v>534</v>
      </c>
      <c r="D275" s="1">
        <v>5050</v>
      </c>
      <c r="E275" s="1">
        <v>4</v>
      </c>
      <c r="F275" s="1">
        <v>16</v>
      </c>
      <c r="G275" s="13">
        <v>0</v>
      </c>
      <c r="I275" s="13">
        <v>1</v>
      </c>
      <c r="K275" s="10">
        <v>0</v>
      </c>
      <c r="L275" s="4">
        <v>210</v>
      </c>
      <c r="M275" s="4">
        <v>100</v>
      </c>
      <c r="N275" s="19" t="s">
        <v>117</v>
      </c>
      <c r="O275" s="4"/>
      <c r="P275" s="12">
        <v>0</v>
      </c>
    </row>
    <row r="276" spans="1:16" ht="14.25" x14ac:dyDescent="0.15">
      <c r="A276" s="8">
        <v>4851</v>
      </c>
      <c r="B276" s="29" t="s">
        <v>535</v>
      </c>
      <c r="C276" s="29" t="s">
        <v>535</v>
      </c>
      <c r="D276" s="1">
        <v>5050</v>
      </c>
      <c r="E276" s="1">
        <v>4</v>
      </c>
      <c r="F276" s="1">
        <v>16</v>
      </c>
      <c r="G276" s="13">
        <v>0</v>
      </c>
      <c r="I276" s="13">
        <v>1</v>
      </c>
      <c r="K276" s="10">
        <v>0</v>
      </c>
      <c r="L276" s="4">
        <v>210</v>
      </c>
      <c r="M276" s="4">
        <v>100</v>
      </c>
      <c r="N276" s="19" t="s">
        <v>117</v>
      </c>
      <c r="O276" s="4"/>
      <c r="P276" s="12">
        <v>0</v>
      </c>
    </row>
    <row r="277" spans="1:16" ht="14.25" x14ac:dyDescent="0.15">
      <c r="A277" s="8">
        <v>4852</v>
      </c>
      <c r="B277" s="29" t="s">
        <v>536</v>
      </c>
      <c r="C277" s="29" t="s">
        <v>536</v>
      </c>
      <c r="D277" s="1">
        <v>5050</v>
      </c>
      <c r="E277" s="1">
        <v>4</v>
      </c>
      <c r="F277" s="1">
        <v>16</v>
      </c>
      <c r="G277" s="13">
        <v>0</v>
      </c>
      <c r="I277" s="13">
        <v>1</v>
      </c>
      <c r="K277" s="10">
        <v>0</v>
      </c>
      <c r="L277" s="4">
        <v>210</v>
      </c>
      <c r="M277" s="4">
        <v>100</v>
      </c>
      <c r="N277" s="19" t="s">
        <v>117</v>
      </c>
      <c r="O277" s="4"/>
      <c r="P277" s="12">
        <v>0</v>
      </c>
    </row>
    <row r="278" spans="1:16" ht="14.25" x14ac:dyDescent="0.15">
      <c r="A278" s="8">
        <v>4853</v>
      </c>
      <c r="B278" s="29" t="s">
        <v>537</v>
      </c>
      <c r="C278" s="29" t="s">
        <v>537</v>
      </c>
      <c r="D278" s="1">
        <v>5050</v>
      </c>
      <c r="E278" s="1">
        <v>4</v>
      </c>
      <c r="F278" s="1">
        <v>16</v>
      </c>
      <c r="G278" s="13">
        <v>0</v>
      </c>
      <c r="I278" s="13">
        <v>1</v>
      </c>
      <c r="K278" s="10">
        <v>0</v>
      </c>
      <c r="L278" s="4">
        <v>210</v>
      </c>
      <c r="M278" s="4">
        <v>100</v>
      </c>
      <c r="N278" s="19" t="s">
        <v>117</v>
      </c>
      <c r="O278" s="4"/>
      <c r="P278" s="12">
        <v>0</v>
      </c>
    </row>
    <row r="279" spans="1:16" ht="14.25" x14ac:dyDescent="0.15">
      <c r="A279" s="8">
        <v>4854</v>
      </c>
      <c r="B279" s="29" t="s">
        <v>538</v>
      </c>
      <c r="C279" s="29" t="s">
        <v>538</v>
      </c>
      <c r="D279" s="1">
        <v>5050</v>
      </c>
      <c r="E279" s="1">
        <v>4</v>
      </c>
      <c r="F279" s="1">
        <v>16</v>
      </c>
      <c r="G279" s="13">
        <v>0</v>
      </c>
      <c r="I279" s="13">
        <v>1</v>
      </c>
      <c r="K279" s="10">
        <v>0</v>
      </c>
      <c r="L279" s="4">
        <v>210</v>
      </c>
      <c r="M279" s="4">
        <v>100</v>
      </c>
      <c r="N279" s="19" t="s">
        <v>117</v>
      </c>
      <c r="O279" s="4"/>
      <c r="P279" s="12">
        <v>0</v>
      </c>
    </row>
    <row r="280" spans="1:16" ht="14.25" x14ac:dyDescent="0.15">
      <c r="A280" s="8">
        <v>4855</v>
      </c>
      <c r="B280" s="29" t="s">
        <v>539</v>
      </c>
      <c r="C280" s="29" t="s">
        <v>539</v>
      </c>
      <c r="D280" s="1">
        <v>5050</v>
      </c>
      <c r="E280" s="1">
        <v>4</v>
      </c>
      <c r="F280" s="1">
        <v>16</v>
      </c>
      <c r="G280" s="13">
        <v>0</v>
      </c>
      <c r="I280" s="13">
        <v>1</v>
      </c>
      <c r="K280" s="10">
        <v>0</v>
      </c>
      <c r="L280" s="4">
        <v>210</v>
      </c>
      <c r="M280" s="4">
        <v>100</v>
      </c>
      <c r="N280" s="19" t="s">
        <v>117</v>
      </c>
      <c r="O280" s="4"/>
      <c r="P280" s="12">
        <v>0</v>
      </c>
    </row>
    <row r="281" spans="1:16" ht="14.25" x14ac:dyDescent="0.15">
      <c r="A281" s="8">
        <v>4856</v>
      </c>
      <c r="B281" s="29" t="s">
        <v>540</v>
      </c>
      <c r="C281" s="29" t="s">
        <v>540</v>
      </c>
      <c r="D281" s="1">
        <v>5050</v>
      </c>
      <c r="E281" s="1">
        <v>4</v>
      </c>
      <c r="F281" s="1">
        <v>16</v>
      </c>
      <c r="G281" s="13">
        <v>0</v>
      </c>
      <c r="I281" s="13">
        <v>1</v>
      </c>
      <c r="K281" s="10">
        <v>0</v>
      </c>
      <c r="L281" s="4">
        <v>210</v>
      </c>
      <c r="M281" s="4">
        <v>100</v>
      </c>
      <c r="N281" s="19" t="s">
        <v>117</v>
      </c>
      <c r="O281" s="4"/>
      <c r="P281" s="12">
        <v>0</v>
      </c>
    </row>
    <row r="282" spans="1:16" ht="14.25" x14ac:dyDescent="0.15">
      <c r="A282" s="8">
        <v>4901</v>
      </c>
      <c r="B282" s="29" t="s">
        <v>541</v>
      </c>
      <c r="C282" s="29" t="s">
        <v>541</v>
      </c>
      <c r="D282" s="1">
        <v>5050</v>
      </c>
      <c r="E282" s="1">
        <v>5</v>
      </c>
      <c r="F282" s="1">
        <v>16</v>
      </c>
      <c r="G282" s="13">
        <v>0</v>
      </c>
      <c r="I282" s="13">
        <v>1</v>
      </c>
      <c r="K282" s="10">
        <v>0</v>
      </c>
      <c r="L282" s="4">
        <v>210</v>
      </c>
      <c r="M282" s="4">
        <v>100</v>
      </c>
      <c r="N282" s="19" t="s">
        <v>117</v>
      </c>
      <c r="O282" s="4"/>
      <c r="P282" s="12">
        <v>0</v>
      </c>
    </row>
    <row r="283" spans="1:16" ht="14.25" x14ac:dyDescent="0.15">
      <c r="A283" s="8">
        <v>4902</v>
      </c>
      <c r="B283" s="29" t="s">
        <v>542</v>
      </c>
      <c r="C283" s="29" t="s">
        <v>542</v>
      </c>
      <c r="D283" s="1">
        <v>5050</v>
      </c>
      <c r="E283" s="1">
        <v>5</v>
      </c>
      <c r="F283" s="1">
        <v>16</v>
      </c>
      <c r="G283" s="13">
        <v>0</v>
      </c>
      <c r="I283" s="13">
        <v>1</v>
      </c>
      <c r="K283" s="10">
        <v>0</v>
      </c>
      <c r="L283" s="4">
        <v>210</v>
      </c>
      <c r="M283" s="4">
        <v>100</v>
      </c>
      <c r="N283" s="19" t="s">
        <v>117</v>
      </c>
      <c r="O283" s="4"/>
      <c r="P283" s="12">
        <v>0</v>
      </c>
    </row>
    <row r="284" spans="1:16" ht="14.25" x14ac:dyDescent="0.15">
      <c r="A284" s="8">
        <v>4903</v>
      </c>
      <c r="B284" s="29" t="s">
        <v>543</v>
      </c>
      <c r="C284" s="29" t="s">
        <v>543</v>
      </c>
      <c r="D284" s="1">
        <v>5050</v>
      </c>
      <c r="E284" s="1">
        <v>5</v>
      </c>
      <c r="F284" s="1">
        <v>16</v>
      </c>
      <c r="G284" s="13">
        <v>0</v>
      </c>
      <c r="I284" s="13">
        <v>1</v>
      </c>
      <c r="K284" s="10">
        <v>0</v>
      </c>
      <c r="L284" s="4">
        <v>210</v>
      </c>
      <c r="M284" s="4">
        <v>100</v>
      </c>
      <c r="N284" s="19" t="s">
        <v>117</v>
      </c>
      <c r="O284" s="4"/>
      <c r="P284" s="12">
        <v>0</v>
      </c>
    </row>
    <row r="285" spans="1:16" ht="14.25" x14ac:dyDescent="0.15">
      <c r="A285" s="8">
        <v>4904</v>
      </c>
      <c r="B285" s="29" t="s">
        <v>544</v>
      </c>
      <c r="C285" s="29" t="s">
        <v>544</v>
      </c>
      <c r="D285" s="1">
        <v>5050</v>
      </c>
      <c r="E285" s="1">
        <v>5</v>
      </c>
      <c r="F285" s="1">
        <v>16</v>
      </c>
      <c r="G285" s="13">
        <v>0</v>
      </c>
      <c r="I285" s="13">
        <v>1</v>
      </c>
      <c r="K285" s="10">
        <v>0</v>
      </c>
      <c r="L285" s="4">
        <v>210</v>
      </c>
      <c r="M285" s="4">
        <v>100</v>
      </c>
      <c r="N285" s="19" t="s">
        <v>117</v>
      </c>
      <c r="O285" s="4"/>
      <c r="P285" s="12">
        <v>0</v>
      </c>
    </row>
    <row r="286" spans="1:16" ht="14.25" x14ac:dyDescent="0.15">
      <c r="A286" s="8">
        <v>4905</v>
      </c>
      <c r="B286" s="29" t="s">
        <v>545</v>
      </c>
      <c r="C286" s="29" t="s">
        <v>545</v>
      </c>
      <c r="D286" s="1">
        <v>5050</v>
      </c>
      <c r="E286" s="1">
        <v>5</v>
      </c>
      <c r="F286" s="1">
        <v>16</v>
      </c>
      <c r="G286" s="13">
        <v>0</v>
      </c>
      <c r="I286" s="13">
        <v>1</v>
      </c>
      <c r="K286" s="10">
        <v>0</v>
      </c>
      <c r="L286" s="4">
        <v>210</v>
      </c>
      <c r="M286" s="4">
        <v>100</v>
      </c>
      <c r="N286" s="19" t="s">
        <v>117</v>
      </c>
      <c r="O286" s="4"/>
      <c r="P286" s="12">
        <v>0</v>
      </c>
    </row>
    <row r="287" spans="1:16" ht="14.25" x14ac:dyDescent="0.15">
      <c r="A287" s="8">
        <v>4906</v>
      </c>
      <c r="B287" s="29" t="s">
        <v>546</v>
      </c>
      <c r="C287" s="29" t="s">
        <v>546</v>
      </c>
      <c r="D287" s="1">
        <v>5050</v>
      </c>
      <c r="E287" s="1">
        <v>5</v>
      </c>
      <c r="F287" s="1">
        <v>16</v>
      </c>
      <c r="G287" s="13">
        <v>0</v>
      </c>
      <c r="I287" s="13">
        <v>1</v>
      </c>
      <c r="K287" s="10">
        <v>0</v>
      </c>
      <c r="L287" s="4">
        <v>210</v>
      </c>
      <c r="M287" s="4">
        <v>100</v>
      </c>
      <c r="N287" s="19" t="s">
        <v>117</v>
      </c>
      <c r="O287" s="4"/>
      <c r="P287" s="12">
        <v>0</v>
      </c>
    </row>
    <row r="288" spans="1:16" ht="14.25" x14ac:dyDescent="0.15">
      <c r="A288" s="8">
        <v>4907</v>
      </c>
      <c r="B288" s="29" t="s">
        <v>547</v>
      </c>
      <c r="C288" s="29" t="s">
        <v>547</v>
      </c>
      <c r="D288" s="1">
        <v>5050</v>
      </c>
      <c r="E288" s="1">
        <v>5</v>
      </c>
      <c r="F288" s="1">
        <v>16</v>
      </c>
      <c r="G288" s="13">
        <v>0</v>
      </c>
      <c r="I288" s="13">
        <v>1</v>
      </c>
      <c r="K288" s="10">
        <v>0</v>
      </c>
      <c r="L288" s="4">
        <v>210</v>
      </c>
      <c r="M288" s="4">
        <v>100</v>
      </c>
      <c r="N288" s="19" t="s">
        <v>117</v>
      </c>
      <c r="O288" s="4"/>
      <c r="P288" s="12">
        <v>0</v>
      </c>
    </row>
    <row r="289" spans="1:16" ht="14.25" x14ac:dyDescent="0.15">
      <c r="A289" s="8">
        <v>4908</v>
      </c>
      <c r="B289" s="29" t="s">
        <v>548</v>
      </c>
      <c r="C289" s="29" t="s">
        <v>548</v>
      </c>
      <c r="D289" s="1">
        <v>5050</v>
      </c>
      <c r="E289" s="1">
        <v>5</v>
      </c>
      <c r="F289" s="1">
        <v>16</v>
      </c>
      <c r="G289" s="13">
        <v>0</v>
      </c>
      <c r="I289" s="13">
        <v>1</v>
      </c>
      <c r="K289" s="10">
        <v>0</v>
      </c>
      <c r="L289" s="4">
        <v>210</v>
      </c>
      <c r="M289" s="4">
        <v>100</v>
      </c>
      <c r="N289" s="19" t="s">
        <v>117</v>
      </c>
      <c r="O289" s="4"/>
      <c r="P289" s="12">
        <v>0</v>
      </c>
    </row>
    <row r="290" spans="1:16" ht="14.25" x14ac:dyDescent="0.15">
      <c r="A290" s="8">
        <v>4909</v>
      </c>
      <c r="B290" s="29" t="s">
        <v>549</v>
      </c>
      <c r="C290" s="29" t="s">
        <v>549</v>
      </c>
      <c r="D290" s="1">
        <v>5050</v>
      </c>
      <c r="E290" s="1">
        <v>5</v>
      </c>
      <c r="F290" s="1">
        <v>16</v>
      </c>
      <c r="G290" s="13">
        <v>0</v>
      </c>
      <c r="I290" s="13">
        <v>1</v>
      </c>
      <c r="K290" s="10">
        <v>0</v>
      </c>
      <c r="L290" s="4">
        <v>210</v>
      </c>
      <c r="M290" s="4">
        <v>100</v>
      </c>
      <c r="N290" s="19" t="s">
        <v>117</v>
      </c>
      <c r="O290" s="4"/>
      <c r="P290" s="12">
        <v>0</v>
      </c>
    </row>
    <row r="291" spans="1:16" ht="14.25" x14ac:dyDescent="0.15">
      <c r="A291" s="8">
        <v>4910</v>
      </c>
      <c r="B291" s="29" t="s">
        <v>550</v>
      </c>
      <c r="C291" s="29" t="s">
        <v>550</v>
      </c>
      <c r="D291" s="1">
        <v>5050</v>
      </c>
      <c r="E291" s="1">
        <v>5</v>
      </c>
      <c r="F291" s="1">
        <v>16</v>
      </c>
      <c r="G291" s="13">
        <v>0</v>
      </c>
      <c r="I291" s="13">
        <v>1</v>
      </c>
      <c r="K291" s="10">
        <v>0</v>
      </c>
      <c r="L291" s="4">
        <v>210</v>
      </c>
      <c r="M291" s="4">
        <v>100</v>
      </c>
      <c r="N291" s="19" t="s">
        <v>117</v>
      </c>
      <c r="O291" s="4"/>
      <c r="P291" s="12">
        <v>0</v>
      </c>
    </row>
    <row r="292" spans="1:16" ht="14.25" x14ac:dyDescent="0.15">
      <c r="A292" s="8">
        <v>4911</v>
      </c>
      <c r="B292" s="29" t="s">
        <v>551</v>
      </c>
      <c r="C292" s="29" t="s">
        <v>551</v>
      </c>
      <c r="D292" s="1">
        <v>5050</v>
      </c>
      <c r="E292" s="1">
        <v>5</v>
      </c>
      <c r="F292" s="1">
        <v>16</v>
      </c>
      <c r="G292" s="13">
        <v>0</v>
      </c>
      <c r="I292" s="13">
        <v>1</v>
      </c>
      <c r="K292" s="10">
        <v>0</v>
      </c>
      <c r="L292" s="4">
        <v>210</v>
      </c>
      <c r="M292" s="4">
        <v>100</v>
      </c>
      <c r="N292" s="19" t="s">
        <v>117</v>
      </c>
      <c r="O292" s="4"/>
      <c r="P292" s="12">
        <v>0</v>
      </c>
    </row>
    <row r="293" spans="1:16" ht="14.25" x14ac:dyDescent="0.15">
      <c r="A293" s="8">
        <v>4912</v>
      </c>
      <c r="B293" s="29" t="s">
        <v>552</v>
      </c>
      <c r="C293" s="29" t="s">
        <v>552</v>
      </c>
      <c r="D293" s="1">
        <v>5050</v>
      </c>
      <c r="E293" s="1">
        <v>5</v>
      </c>
      <c r="F293" s="1">
        <v>16</v>
      </c>
      <c r="G293" s="13">
        <v>0</v>
      </c>
      <c r="I293" s="13">
        <v>1</v>
      </c>
      <c r="K293" s="10">
        <v>0</v>
      </c>
      <c r="L293" s="4">
        <v>210</v>
      </c>
      <c r="M293" s="4">
        <v>100</v>
      </c>
      <c r="N293" s="19" t="s">
        <v>117</v>
      </c>
      <c r="O293" s="4"/>
      <c r="P293" s="12">
        <v>0</v>
      </c>
    </row>
    <row r="294" spans="1:16" ht="14.25" x14ac:dyDescent="0.15">
      <c r="A294" s="8">
        <v>4913</v>
      </c>
      <c r="B294" s="29" t="s">
        <v>553</v>
      </c>
      <c r="C294" s="29" t="s">
        <v>553</v>
      </c>
      <c r="D294" s="1">
        <v>5050</v>
      </c>
      <c r="E294" s="1">
        <v>5</v>
      </c>
      <c r="F294" s="1">
        <v>16</v>
      </c>
      <c r="G294" s="13">
        <v>0</v>
      </c>
      <c r="I294" s="13">
        <v>1</v>
      </c>
      <c r="K294" s="10">
        <v>0</v>
      </c>
      <c r="L294" s="4">
        <v>210</v>
      </c>
      <c r="M294" s="4">
        <v>100</v>
      </c>
      <c r="N294" s="19" t="s">
        <v>117</v>
      </c>
      <c r="O294" s="4"/>
      <c r="P294" s="12">
        <v>0</v>
      </c>
    </row>
    <row r="295" spans="1:16" ht="14.25" x14ac:dyDescent="0.15">
      <c r="A295" s="8">
        <v>4914</v>
      </c>
      <c r="B295" s="29" t="s">
        <v>554</v>
      </c>
      <c r="C295" s="29" t="s">
        <v>554</v>
      </c>
      <c r="D295" s="1">
        <v>5050</v>
      </c>
      <c r="E295" s="1">
        <v>5</v>
      </c>
      <c r="F295" s="1">
        <v>16</v>
      </c>
      <c r="G295" s="13">
        <v>0</v>
      </c>
      <c r="I295" s="13">
        <v>1</v>
      </c>
      <c r="K295" s="10">
        <v>0</v>
      </c>
      <c r="L295" s="4">
        <v>210</v>
      </c>
      <c r="M295" s="4">
        <v>100</v>
      </c>
      <c r="N295" s="19" t="s">
        <v>117</v>
      </c>
      <c r="O295" s="4"/>
      <c r="P295" s="12">
        <v>0</v>
      </c>
    </row>
    <row r="296" spans="1:16" ht="14.25" x14ac:dyDescent="0.15">
      <c r="A296" s="8">
        <v>4915</v>
      </c>
      <c r="B296" s="29" t="s">
        <v>555</v>
      </c>
      <c r="C296" s="29" t="s">
        <v>555</v>
      </c>
      <c r="D296" s="1">
        <v>5050</v>
      </c>
      <c r="E296" s="1">
        <v>5</v>
      </c>
      <c r="F296" s="1">
        <v>16</v>
      </c>
      <c r="G296" s="13">
        <v>0</v>
      </c>
      <c r="I296" s="13">
        <v>1</v>
      </c>
      <c r="K296" s="10">
        <v>0</v>
      </c>
      <c r="L296" s="4">
        <v>210</v>
      </c>
      <c r="M296" s="4">
        <v>100</v>
      </c>
      <c r="N296" s="19" t="s">
        <v>117</v>
      </c>
      <c r="O296" s="4"/>
      <c r="P296" s="12">
        <v>0</v>
      </c>
    </row>
    <row r="297" spans="1:16" ht="14.25" x14ac:dyDescent="0.15">
      <c r="A297" s="8">
        <v>4916</v>
      </c>
      <c r="B297" s="29" t="s">
        <v>556</v>
      </c>
      <c r="C297" s="29" t="s">
        <v>556</v>
      </c>
      <c r="D297" s="1">
        <v>5050</v>
      </c>
      <c r="E297" s="1">
        <v>5</v>
      </c>
      <c r="F297" s="1">
        <v>16</v>
      </c>
      <c r="G297" s="13">
        <v>0</v>
      </c>
      <c r="I297" s="13">
        <v>1</v>
      </c>
      <c r="K297" s="10">
        <v>0</v>
      </c>
      <c r="L297" s="4">
        <v>210</v>
      </c>
      <c r="M297" s="4">
        <v>100</v>
      </c>
      <c r="N297" s="19" t="s">
        <v>117</v>
      </c>
      <c r="O297" s="4"/>
      <c r="P297" s="12">
        <v>0</v>
      </c>
    </row>
    <row r="298" spans="1:16" ht="14.25" x14ac:dyDescent="0.15">
      <c r="A298" s="8">
        <v>4917</v>
      </c>
      <c r="B298" s="29" t="s">
        <v>557</v>
      </c>
      <c r="C298" s="29" t="s">
        <v>557</v>
      </c>
      <c r="D298" s="1">
        <v>5050</v>
      </c>
      <c r="E298" s="1">
        <v>5</v>
      </c>
      <c r="F298" s="1">
        <v>16</v>
      </c>
      <c r="G298" s="13">
        <v>0</v>
      </c>
      <c r="I298" s="13">
        <v>1</v>
      </c>
      <c r="K298" s="10">
        <v>0</v>
      </c>
      <c r="L298" s="4">
        <v>210</v>
      </c>
      <c r="M298" s="4">
        <v>100</v>
      </c>
      <c r="N298" s="19" t="s">
        <v>117</v>
      </c>
      <c r="O298" s="4"/>
      <c r="P298" s="12">
        <v>0</v>
      </c>
    </row>
    <row r="299" spans="1:16" ht="14.25" x14ac:dyDescent="0.15">
      <c r="A299" s="8">
        <v>4918</v>
      </c>
      <c r="B299" s="29" t="s">
        <v>558</v>
      </c>
      <c r="C299" s="29" t="s">
        <v>558</v>
      </c>
      <c r="D299" s="1">
        <v>5050</v>
      </c>
      <c r="E299" s="1">
        <v>5</v>
      </c>
      <c r="F299" s="1">
        <v>16</v>
      </c>
      <c r="G299" s="13">
        <v>0</v>
      </c>
      <c r="I299" s="13">
        <v>1</v>
      </c>
      <c r="K299" s="10">
        <v>0</v>
      </c>
      <c r="L299" s="4">
        <v>210</v>
      </c>
      <c r="M299" s="4">
        <v>100</v>
      </c>
      <c r="N299" s="19" t="s">
        <v>117</v>
      </c>
      <c r="O299" s="4"/>
      <c r="P299" s="12">
        <v>0</v>
      </c>
    </row>
    <row r="300" spans="1:16" ht="14.25" x14ac:dyDescent="0.15">
      <c r="A300" s="8">
        <v>4919</v>
      </c>
      <c r="B300" s="29" t="s">
        <v>559</v>
      </c>
      <c r="C300" s="29" t="s">
        <v>559</v>
      </c>
      <c r="D300" s="1">
        <v>5050</v>
      </c>
      <c r="E300" s="1">
        <v>5</v>
      </c>
      <c r="F300" s="1">
        <v>16</v>
      </c>
      <c r="G300" s="13">
        <v>0</v>
      </c>
      <c r="I300" s="13">
        <v>1</v>
      </c>
      <c r="K300" s="10">
        <v>0</v>
      </c>
      <c r="L300" s="4">
        <v>210</v>
      </c>
      <c r="M300" s="4">
        <v>100</v>
      </c>
      <c r="N300" s="19" t="s">
        <v>117</v>
      </c>
      <c r="O300" s="4"/>
      <c r="P300" s="12">
        <v>0</v>
      </c>
    </row>
    <row r="301" spans="1:16" ht="14.25" x14ac:dyDescent="0.15">
      <c r="A301" s="8">
        <v>4920</v>
      </c>
      <c r="B301" s="29" t="s">
        <v>560</v>
      </c>
      <c r="C301" s="29" t="s">
        <v>560</v>
      </c>
      <c r="D301" s="1">
        <v>5050</v>
      </c>
      <c r="E301" s="1">
        <v>5</v>
      </c>
      <c r="F301" s="1">
        <v>16</v>
      </c>
      <c r="G301" s="13">
        <v>0</v>
      </c>
      <c r="I301" s="13">
        <v>1</v>
      </c>
      <c r="K301" s="10">
        <v>0</v>
      </c>
      <c r="L301" s="4">
        <v>210</v>
      </c>
      <c r="M301" s="4">
        <v>100</v>
      </c>
      <c r="N301" s="19" t="s">
        <v>117</v>
      </c>
      <c r="O301" s="4"/>
      <c r="P301" s="12">
        <v>0</v>
      </c>
    </row>
    <row r="302" spans="1:16" ht="14.25" x14ac:dyDescent="0.15">
      <c r="A302" s="8">
        <v>4921</v>
      </c>
      <c r="B302" s="29" t="s">
        <v>561</v>
      </c>
      <c r="C302" s="29" t="s">
        <v>561</v>
      </c>
      <c r="D302" s="1">
        <v>5050</v>
      </c>
      <c r="E302" s="1">
        <v>5</v>
      </c>
      <c r="F302" s="1">
        <v>16</v>
      </c>
      <c r="G302" s="13">
        <v>0</v>
      </c>
      <c r="I302" s="13">
        <v>1</v>
      </c>
      <c r="K302" s="10">
        <v>0</v>
      </c>
      <c r="L302" s="4">
        <v>210</v>
      </c>
      <c r="M302" s="4">
        <v>100</v>
      </c>
      <c r="N302" s="19" t="s">
        <v>117</v>
      </c>
      <c r="O302" s="4"/>
      <c r="P302" s="12">
        <v>0</v>
      </c>
    </row>
    <row r="303" spans="1:16" ht="14.25" x14ac:dyDescent="0.15">
      <c r="A303" s="8">
        <v>4922</v>
      </c>
      <c r="B303" s="29" t="s">
        <v>562</v>
      </c>
      <c r="C303" s="29" t="s">
        <v>562</v>
      </c>
      <c r="D303" s="1">
        <v>5050</v>
      </c>
      <c r="E303" s="1">
        <v>5</v>
      </c>
      <c r="F303" s="1">
        <v>16</v>
      </c>
      <c r="G303" s="13">
        <v>0</v>
      </c>
      <c r="I303" s="13">
        <v>1</v>
      </c>
      <c r="K303" s="10">
        <v>0</v>
      </c>
      <c r="L303" s="4">
        <v>210</v>
      </c>
      <c r="M303" s="4">
        <v>100</v>
      </c>
      <c r="N303" s="19" t="s">
        <v>117</v>
      </c>
      <c r="O303" s="4"/>
      <c r="P303" s="12">
        <v>0</v>
      </c>
    </row>
    <row r="304" spans="1:16" ht="14.25" x14ac:dyDescent="0.15">
      <c r="A304" s="8">
        <v>4923</v>
      </c>
      <c r="B304" s="29" t="s">
        <v>563</v>
      </c>
      <c r="C304" s="29" t="s">
        <v>563</v>
      </c>
      <c r="D304" s="1">
        <v>5050</v>
      </c>
      <c r="E304" s="1">
        <v>5</v>
      </c>
      <c r="F304" s="1">
        <v>16</v>
      </c>
      <c r="G304" s="13">
        <v>0</v>
      </c>
      <c r="I304" s="13">
        <v>1</v>
      </c>
      <c r="K304" s="10">
        <v>0</v>
      </c>
      <c r="L304" s="4">
        <v>210</v>
      </c>
      <c r="M304" s="4">
        <v>100</v>
      </c>
      <c r="N304" s="19" t="s">
        <v>117</v>
      </c>
      <c r="O304" s="4"/>
      <c r="P304" s="12">
        <v>0</v>
      </c>
    </row>
    <row r="305" spans="1:16" ht="14.25" x14ac:dyDescent="0.15">
      <c r="A305" s="8">
        <v>4924</v>
      </c>
      <c r="B305" s="29" t="s">
        <v>564</v>
      </c>
      <c r="C305" s="29" t="s">
        <v>564</v>
      </c>
      <c r="D305" s="1">
        <v>5050</v>
      </c>
      <c r="E305" s="1">
        <v>5</v>
      </c>
      <c r="F305" s="1">
        <v>16</v>
      </c>
      <c r="G305" s="13">
        <v>0</v>
      </c>
      <c r="I305" s="13">
        <v>1</v>
      </c>
      <c r="K305" s="10">
        <v>0</v>
      </c>
      <c r="L305" s="4">
        <v>210</v>
      </c>
      <c r="M305" s="4">
        <v>100</v>
      </c>
      <c r="N305" s="19" t="s">
        <v>117</v>
      </c>
      <c r="O305" s="4"/>
      <c r="P305" s="12">
        <v>0</v>
      </c>
    </row>
    <row r="306" spans="1:16" ht="14.25" x14ac:dyDescent="0.15">
      <c r="A306" s="8">
        <v>4925</v>
      </c>
      <c r="B306" s="29" t="s">
        <v>565</v>
      </c>
      <c r="C306" s="29" t="s">
        <v>565</v>
      </c>
      <c r="D306" s="1">
        <v>5050</v>
      </c>
      <c r="E306" s="1">
        <v>5</v>
      </c>
      <c r="F306" s="1">
        <v>16</v>
      </c>
      <c r="G306" s="13">
        <v>0</v>
      </c>
      <c r="I306" s="13">
        <v>1</v>
      </c>
      <c r="K306" s="10">
        <v>0</v>
      </c>
      <c r="L306" s="4">
        <v>210</v>
      </c>
      <c r="M306" s="4">
        <v>100</v>
      </c>
      <c r="N306" s="19" t="s">
        <v>117</v>
      </c>
      <c r="O306" s="4"/>
      <c r="P306" s="12">
        <v>0</v>
      </c>
    </row>
    <row r="307" spans="1:16" ht="14.25" x14ac:dyDescent="0.15">
      <c r="A307" s="8">
        <v>4926</v>
      </c>
      <c r="B307" s="29" t="s">
        <v>566</v>
      </c>
      <c r="C307" s="29" t="s">
        <v>566</v>
      </c>
      <c r="D307" s="1">
        <v>5050</v>
      </c>
      <c r="E307" s="1">
        <v>5</v>
      </c>
      <c r="F307" s="1">
        <v>16</v>
      </c>
      <c r="G307" s="13">
        <v>0</v>
      </c>
      <c r="I307" s="13">
        <v>1</v>
      </c>
      <c r="K307" s="10">
        <v>0</v>
      </c>
      <c r="L307" s="4">
        <v>210</v>
      </c>
      <c r="M307" s="4">
        <v>100</v>
      </c>
      <c r="N307" s="19" t="s">
        <v>117</v>
      </c>
      <c r="O307" s="4"/>
      <c r="P307" s="12">
        <v>0</v>
      </c>
    </row>
    <row r="308" spans="1:16" ht="14.25" x14ac:dyDescent="0.15">
      <c r="A308" s="8">
        <v>4927</v>
      </c>
      <c r="B308" s="29" t="s">
        <v>567</v>
      </c>
      <c r="C308" s="29" t="s">
        <v>567</v>
      </c>
      <c r="D308" s="1">
        <v>5050</v>
      </c>
      <c r="E308" s="1">
        <v>5</v>
      </c>
      <c r="F308" s="1">
        <v>16</v>
      </c>
      <c r="G308" s="13">
        <v>0</v>
      </c>
      <c r="I308" s="13">
        <v>1</v>
      </c>
      <c r="K308" s="10">
        <v>0</v>
      </c>
      <c r="L308" s="4">
        <v>210</v>
      </c>
      <c r="M308" s="4">
        <v>100</v>
      </c>
      <c r="N308" s="19" t="s">
        <v>117</v>
      </c>
      <c r="O308" s="4"/>
      <c r="P308" s="12">
        <v>0</v>
      </c>
    </row>
    <row r="309" spans="1:16" ht="14.25" x14ac:dyDescent="0.15">
      <c r="A309" s="8">
        <v>4928</v>
      </c>
      <c r="B309" s="29" t="s">
        <v>568</v>
      </c>
      <c r="C309" s="29" t="s">
        <v>568</v>
      </c>
      <c r="D309" s="1">
        <v>5050</v>
      </c>
      <c r="E309" s="1">
        <v>5</v>
      </c>
      <c r="F309" s="1">
        <v>16</v>
      </c>
      <c r="G309" s="13">
        <v>0</v>
      </c>
      <c r="I309" s="13">
        <v>1</v>
      </c>
      <c r="K309" s="10">
        <v>0</v>
      </c>
      <c r="L309" s="4">
        <v>210</v>
      </c>
      <c r="M309" s="4">
        <v>100</v>
      </c>
      <c r="N309" s="19" t="s">
        <v>117</v>
      </c>
      <c r="O309" s="4"/>
      <c r="P309" s="12">
        <v>0</v>
      </c>
    </row>
    <row r="310" spans="1:16" ht="14.25" x14ac:dyDescent="0.15">
      <c r="A310" s="8">
        <v>4929</v>
      </c>
      <c r="B310" s="29" t="s">
        <v>569</v>
      </c>
      <c r="C310" s="29" t="s">
        <v>569</v>
      </c>
      <c r="D310" s="1">
        <v>5050</v>
      </c>
      <c r="E310" s="1">
        <v>5</v>
      </c>
      <c r="F310" s="1">
        <v>16</v>
      </c>
      <c r="G310" s="13">
        <v>0</v>
      </c>
      <c r="I310" s="13">
        <v>1</v>
      </c>
      <c r="K310" s="10">
        <v>0</v>
      </c>
      <c r="L310" s="4">
        <v>210</v>
      </c>
      <c r="M310" s="4">
        <v>100</v>
      </c>
      <c r="N310" s="19" t="s">
        <v>117</v>
      </c>
      <c r="O310" s="4"/>
      <c r="P310" s="12">
        <v>0</v>
      </c>
    </row>
    <row r="311" spans="1:16" ht="14.25" x14ac:dyDescent="0.15">
      <c r="A311" s="8">
        <v>4930</v>
      </c>
      <c r="B311" s="29" t="s">
        <v>570</v>
      </c>
      <c r="C311" s="29" t="s">
        <v>570</v>
      </c>
      <c r="D311" s="1">
        <v>5050</v>
      </c>
      <c r="E311" s="1">
        <v>5</v>
      </c>
      <c r="F311" s="1">
        <v>16</v>
      </c>
      <c r="G311" s="13">
        <v>0</v>
      </c>
      <c r="I311" s="13">
        <v>1</v>
      </c>
      <c r="K311" s="10">
        <v>0</v>
      </c>
      <c r="L311" s="4">
        <v>210</v>
      </c>
      <c r="M311" s="4">
        <v>100</v>
      </c>
      <c r="N311" s="19" t="s">
        <v>117</v>
      </c>
      <c r="O311" s="4"/>
      <c r="P311" s="12">
        <v>0</v>
      </c>
    </row>
    <row r="312" spans="1:16" ht="14.25" x14ac:dyDescent="0.15">
      <c r="A312" s="8">
        <v>4931</v>
      </c>
      <c r="B312" s="29" t="s">
        <v>571</v>
      </c>
      <c r="C312" s="29" t="s">
        <v>571</v>
      </c>
      <c r="D312" s="1">
        <v>5050</v>
      </c>
      <c r="E312" s="1">
        <v>5</v>
      </c>
      <c r="F312" s="1">
        <v>16</v>
      </c>
      <c r="G312" s="13">
        <v>0</v>
      </c>
      <c r="I312" s="13">
        <v>1</v>
      </c>
      <c r="K312" s="10">
        <v>0</v>
      </c>
      <c r="L312" s="4">
        <v>210</v>
      </c>
      <c r="M312" s="4">
        <v>100</v>
      </c>
      <c r="N312" s="19" t="s">
        <v>117</v>
      </c>
      <c r="O312" s="4"/>
      <c r="P312" s="12">
        <v>0</v>
      </c>
    </row>
    <row r="313" spans="1:16" ht="14.25" x14ac:dyDescent="0.15">
      <c r="A313" s="8">
        <v>4932</v>
      </c>
      <c r="B313" s="29" t="s">
        <v>572</v>
      </c>
      <c r="C313" s="29" t="s">
        <v>572</v>
      </c>
      <c r="D313" s="1">
        <v>5050</v>
      </c>
      <c r="E313" s="1">
        <v>5</v>
      </c>
      <c r="F313" s="1">
        <v>16</v>
      </c>
      <c r="G313" s="13">
        <v>0</v>
      </c>
      <c r="I313" s="13">
        <v>1</v>
      </c>
      <c r="K313" s="10">
        <v>0</v>
      </c>
      <c r="L313" s="4">
        <v>210</v>
      </c>
      <c r="M313" s="4">
        <v>100</v>
      </c>
      <c r="N313" s="19" t="s">
        <v>117</v>
      </c>
      <c r="O313" s="4"/>
      <c r="P313" s="12">
        <v>0</v>
      </c>
    </row>
    <row r="314" spans="1:16" ht="14.25" x14ac:dyDescent="0.15">
      <c r="A314" s="8">
        <v>4933</v>
      </c>
      <c r="B314" s="29" t="s">
        <v>573</v>
      </c>
      <c r="C314" s="29" t="s">
        <v>573</v>
      </c>
      <c r="D314" s="1">
        <v>5050</v>
      </c>
      <c r="E314" s="1">
        <v>5</v>
      </c>
      <c r="F314" s="1">
        <v>16</v>
      </c>
      <c r="G314" s="13">
        <v>0</v>
      </c>
      <c r="I314" s="13">
        <v>1</v>
      </c>
      <c r="K314" s="10">
        <v>0</v>
      </c>
      <c r="L314" s="4">
        <v>210</v>
      </c>
      <c r="M314" s="4">
        <v>100</v>
      </c>
      <c r="N314" s="19" t="s">
        <v>117</v>
      </c>
      <c r="O314" s="4"/>
      <c r="P314" s="12">
        <v>0</v>
      </c>
    </row>
    <row r="315" spans="1:16" ht="14.25" x14ac:dyDescent="0.15">
      <c r="A315" s="8">
        <v>4934</v>
      </c>
      <c r="B315" s="29" t="s">
        <v>574</v>
      </c>
      <c r="C315" s="29" t="s">
        <v>574</v>
      </c>
      <c r="D315" s="1">
        <v>5050</v>
      </c>
      <c r="E315" s="1">
        <v>5</v>
      </c>
      <c r="F315" s="1">
        <v>16</v>
      </c>
      <c r="G315" s="13">
        <v>0</v>
      </c>
      <c r="I315" s="13">
        <v>1</v>
      </c>
      <c r="K315" s="10">
        <v>0</v>
      </c>
      <c r="L315" s="4">
        <v>210</v>
      </c>
      <c r="M315" s="4">
        <v>100</v>
      </c>
      <c r="N315" s="19" t="s">
        <v>117</v>
      </c>
      <c r="O315" s="4"/>
      <c r="P315" s="12">
        <v>0</v>
      </c>
    </row>
    <row r="316" spans="1:16" ht="14.25" x14ac:dyDescent="0.15">
      <c r="A316" s="8">
        <v>4935</v>
      </c>
      <c r="B316" s="29" t="s">
        <v>575</v>
      </c>
      <c r="C316" s="29" t="s">
        <v>575</v>
      </c>
      <c r="D316" s="1">
        <v>5050</v>
      </c>
      <c r="E316" s="1">
        <v>5</v>
      </c>
      <c r="F316" s="1">
        <v>16</v>
      </c>
      <c r="G316" s="13">
        <v>0</v>
      </c>
      <c r="I316" s="13">
        <v>1</v>
      </c>
      <c r="K316" s="10">
        <v>0</v>
      </c>
      <c r="L316" s="4">
        <v>210</v>
      </c>
      <c r="M316" s="4">
        <v>100</v>
      </c>
      <c r="N316" s="19" t="s">
        <v>117</v>
      </c>
      <c r="O316" s="4"/>
      <c r="P316" s="12">
        <v>0</v>
      </c>
    </row>
    <row r="317" spans="1:16" ht="14.25" x14ac:dyDescent="0.15">
      <c r="A317" s="8">
        <v>4936</v>
      </c>
      <c r="B317" s="29" t="s">
        <v>576</v>
      </c>
      <c r="C317" s="29" t="s">
        <v>576</v>
      </c>
      <c r="D317" s="1">
        <v>5050</v>
      </c>
      <c r="E317" s="1">
        <v>5</v>
      </c>
      <c r="F317" s="1">
        <v>16</v>
      </c>
      <c r="G317" s="13">
        <v>0</v>
      </c>
      <c r="I317" s="13">
        <v>1</v>
      </c>
      <c r="K317" s="10">
        <v>0</v>
      </c>
      <c r="L317" s="4">
        <v>210</v>
      </c>
      <c r="M317" s="4">
        <v>100</v>
      </c>
      <c r="N317" s="19" t="s">
        <v>117</v>
      </c>
      <c r="O317" s="4"/>
      <c r="P317" s="12">
        <v>0</v>
      </c>
    </row>
    <row r="318" spans="1:16" ht="14.25" x14ac:dyDescent="0.15">
      <c r="A318" s="8">
        <v>4937</v>
      </c>
      <c r="B318" s="29" t="s">
        <v>577</v>
      </c>
      <c r="C318" s="29" t="s">
        <v>577</v>
      </c>
      <c r="D318" s="1">
        <v>5050</v>
      </c>
      <c r="E318" s="1">
        <v>5</v>
      </c>
      <c r="F318" s="1">
        <v>16</v>
      </c>
      <c r="G318" s="13">
        <v>0</v>
      </c>
      <c r="I318" s="13">
        <v>1</v>
      </c>
      <c r="K318" s="10">
        <v>0</v>
      </c>
      <c r="L318" s="4">
        <v>210</v>
      </c>
      <c r="M318" s="4">
        <v>100</v>
      </c>
      <c r="N318" s="19" t="s">
        <v>117</v>
      </c>
      <c r="O318" s="4"/>
      <c r="P318" s="12">
        <v>0</v>
      </c>
    </row>
    <row r="319" spans="1:16" ht="14.25" x14ac:dyDescent="0.15">
      <c r="A319" s="8">
        <v>4938</v>
      </c>
      <c r="B319" s="29" t="s">
        <v>578</v>
      </c>
      <c r="C319" s="29" t="s">
        <v>578</v>
      </c>
      <c r="D319" s="1">
        <v>5050</v>
      </c>
      <c r="E319" s="1">
        <v>5</v>
      </c>
      <c r="F319" s="1">
        <v>16</v>
      </c>
      <c r="G319" s="13">
        <v>0</v>
      </c>
      <c r="I319" s="13">
        <v>1</v>
      </c>
      <c r="K319" s="10">
        <v>0</v>
      </c>
      <c r="L319" s="4">
        <v>210</v>
      </c>
      <c r="M319" s="4">
        <v>100</v>
      </c>
      <c r="N319" s="19" t="s">
        <v>117</v>
      </c>
      <c r="O319" s="4"/>
      <c r="P319" s="12">
        <v>0</v>
      </c>
    </row>
    <row r="320" spans="1:16" ht="14.25" x14ac:dyDescent="0.15">
      <c r="A320" s="8">
        <v>4939</v>
      </c>
      <c r="B320" s="29" t="s">
        <v>579</v>
      </c>
      <c r="C320" s="29" t="s">
        <v>579</v>
      </c>
      <c r="D320" s="1">
        <v>5050</v>
      </c>
      <c r="E320" s="1">
        <v>5</v>
      </c>
      <c r="F320" s="1">
        <v>16</v>
      </c>
      <c r="G320" s="13">
        <v>0</v>
      </c>
      <c r="I320" s="13">
        <v>1</v>
      </c>
      <c r="K320" s="10">
        <v>0</v>
      </c>
      <c r="L320" s="4">
        <v>210</v>
      </c>
      <c r="M320" s="4">
        <v>100</v>
      </c>
      <c r="N320" s="19" t="s">
        <v>117</v>
      </c>
      <c r="O320" s="4"/>
      <c r="P320" s="12">
        <v>0</v>
      </c>
    </row>
    <row r="321" spans="1:16" ht="14.25" x14ac:dyDescent="0.15">
      <c r="A321" s="8">
        <v>4940</v>
      </c>
      <c r="B321" s="29" t="s">
        <v>580</v>
      </c>
      <c r="C321" s="29" t="s">
        <v>580</v>
      </c>
      <c r="D321" s="1">
        <v>5050</v>
      </c>
      <c r="E321" s="1">
        <v>5</v>
      </c>
      <c r="F321" s="1">
        <v>16</v>
      </c>
      <c r="G321" s="13">
        <v>0</v>
      </c>
      <c r="I321" s="13">
        <v>1</v>
      </c>
      <c r="K321" s="10">
        <v>0</v>
      </c>
      <c r="L321" s="4">
        <v>210</v>
      </c>
      <c r="M321" s="4">
        <v>100</v>
      </c>
      <c r="N321" s="19" t="s">
        <v>117</v>
      </c>
      <c r="O321" s="4"/>
      <c r="P321" s="12">
        <v>0</v>
      </c>
    </row>
    <row r="322" spans="1:16" ht="14.25" x14ac:dyDescent="0.15">
      <c r="A322" s="8">
        <v>4941</v>
      </c>
      <c r="B322" s="29" t="s">
        <v>581</v>
      </c>
      <c r="C322" s="29" t="s">
        <v>581</v>
      </c>
      <c r="D322" s="1">
        <v>5050</v>
      </c>
      <c r="E322" s="1">
        <v>5</v>
      </c>
      <c r="F322" s="1">
        <v>16</v>
      </c>
      <c r="G322" s="13">
        <v>0</v>
      </c>
      <c r="I322" s="13">
        <v>1</v>
      </c>
      <c r="K322" s="10">
        <v>0</v>
      </c>
      <c r="L322" s="4">
        <v>210</v>
      </c>
      <c r="M322" s="4">
        <v>100</v>
      </c>
      <c r="N322" s="19" t="s">
        <v>117</v>
      </c>
      <c r="O322" s="4"/>
      <c r="P322" s="12">
        <v>0</v>
      </c>
    </row>
    <row r="323" spans="1:16" ht="14.25" x14ac:dyDescent="0.15">
      <c r="A323" s="8">
        <v>4942</v>
      </c>
      <c r="B323" s="29" t="s">
        <v>582</v>
      </c>
      <c r="C323" s="29" t="s">
        <v>582</v>
      </c>
      <c r="D323" s="1">
        <v>5050</v>
      </c>
      <c r="E323" s="1">
        <v>5</v>
      </c>
      <c r="F323" s="1">
        <v>16</v>
      </c>
      <c r="G323" s="13">
        <v>0</v>
      </c>
      <c r="I323" s="13">
        <v>1</v>
      </c>
      <c r="K323" s="10">
        <v>0</v>
      </c>
      <c r="L323" s="4">
        <v>210</v>
      </c>
      <c r="M323" s="4">
        <v>100</v>
      </c>
      <c r="N323" s="19" t="s">
        <v>117</v>
      </c>
      <c r="O323" s="4"/>
      <c r="P323" s="12">
        <v>0</v>
      </c>
    </row>
    <row r="324" spans="1:16" ht="14.25" x14ac:dyDescent="0.15">
      <c r="A324" s="8">
        <v>4943</v>
      </c>
      <c r="B324" s="29" t="s">
        <v>583</v>
      </c>
      <c r="C324" s="29" t="s">
        <v>583</v>
      </c>
      <c r="D324" s="1">
        <v>5050</v>
      </c>
      <c r="E324" s="1">
        <v>5</v>
      </c>
      <c r="F324" s="1">
        <v>16</v>
      </c>
      <c r="G324" s="13">
        <v>0</v>
      </c>
      <c r="I324" s="13">
        <v>1</v>
      </c>
      <c r="K324" s="10">
        <v>0</v>
      </c>
      <c r="L324" s="4">
        <v>210</v>
      </c>
      <c r="M324" s="4">
        <v>100</v>
      </c>
      <c r="N324" s="19" t="s">
        <v>117</v>
      </c>
      <c r="O324" s="4"/>
      <c r="P324" s="12">
        <v>0</v>
      </c>
    </row>
    <row r="325" spans="1:16" ht="14.25" x14ac:dyDescent="0.15">
      <c r="A325" s="8">
        <v>4944</v>
      </c>
      <c r="B325" s="29" t="s">
        <v>584</v>
      </c>
      <c r="C325" s="29" t="s">
        <v>584</v>
      </c>
      <c r="D325" s="1">
        <v>5050</v>
      </c>
      <c r="E325" s="1">
        <v>5</v>
      </c>
      <c r="F325" s="1">
        <v>16</v>
      </c>
      <c r="G325" s="13">
        <v>0</v>
      </c>
      <c r="I325" s="13">
        <v>1</v>
      </c>
      <c r="K325" s="10">
        <v>0</v>
      </c>
      <c r="L325" s="4">
        <v>210</v>
      </c>
      <c r="M325" s="4">
        <v>100</v>
      </c>
      <c r="N325" s="19" t="s">
        <v>117</v>
      </c>
      <c r="O325" s="4"/>
      <c r="P325" s="12">
        <v>0</v>
      </c>
    </row>
    <row r="326" spans="1:16" ht="14.25" x14ac:dyDescent="0.15">
      <c r="A326" s="8">
        <v>4945</v>
      </c>
      <c r="B326" s="29" t="s">
        <v>585</v>
      </c>
      <c r="C326" s="29" t="s">
        <v>585</v>
      </c>
      <c r="D326" s="1">
        <v>5050</v>
      </c>
      <c r="E326" s="1">
        <v>5</v>
      </c>
      <c r="F326" s="1">
        <v>16</v>
      </c>
      <c r="G326" s="13">
        <v>0</v>
      </c>
      <c r="I326" s="13">
        <v>1</v>
      </c>
      <c r="K326" s="10">
        <v>0</v>
      </c>
      <c r="L326" s="4">
        <v>210</v>
      </c>
      <c r="M326" s="4">
        <v>100</v>
      </c>
      <c r="N326" s="19" t="s">
        <v>117</v>
      </c>
      <c r="O326" s="4"/>
      <c r="P326" s="12">
        <v>0</v>
      </c>
    </row>
    <row r="327" spans="1:16" ht="14.25" x14ac:dyDescent="0.15">
      <c r="A327" s="8">
        <v>4946</v>
      </c>
      <c r="B327" s="29" t="s">
        <v>586</v>
      </c>
      <c r="C327" s="29" t="s">
        <v>586</v>
      </c>
      <c r="D327" s="1">
        <v>5050</v>
      </c>
      <c r="E327" s="1">
        <v>5</v>
      </c>
      <c r="F327" s="1">
        <v>16</v>
      </c>
      <c r="G327" s="13">
        <v>0</v>
      </c>
      <c r="I327" s="13">
        <v>1</v>
      </c>
      <c r="K327" s="10">
        <v>0</v>
      </c>
      <c r="L327" s="4">
        <v>210</v>
      </c>
      <c r="M327" s="4">
        <v>100</v>
      </c>
      <c r="N327" s="19" t="s">
        <v>117</v>
      </c>
      <c r="O327" s="4"/>
      <c r="P327" s="12">
        <v>0</v>
      </c>
    </row>
    <row r="328" spans="1:16" ht="14.25" x14ac:dyDescent="0.15">
      <c r="A328" s="8">
        <v>4947</v>
      </c>
      <c r="B328" s="29" t="s">
        <v>587</v>
      </c>
      <c r="C328" s="29" t="s">
        <v>587</v>
      </c>
      <c r="D328" s="1">
        <v>5050</v>
      </c>
      <c r="E328" s="1">
        <v>5</v>
      </c>
      <c r="F328" s="1">
        <v>16</v>
      </c>
      <c r="G328" s="13">
        <v>0</v>
      </c>
      <c r="I328" s="13">
        <v>1</v>
      </c>
      <c r="K328" s="10">
        <v>0</v>
      </c>
      <c r="L328" s="4">
        <v>210</v>
      </c>
      <c r="M328" s="4">
        <v>100</v>
      </c>
      <c r="N328" s="19" t="s">
        <v>117</v>
      </c>
      <c r="O328" s="4"/>
      <c r="P328" s="12">
        <v>0</v>
      </c>
    </row>
    <row r="329" spans="1:16" ht="14.25" x14ac:dyDescent="0.15">
      <c r="A329" s="8">
        <v>4948</v>
      </c>
      <c r="B329" s="29" t="s">
        <v>588</v>
      </c>
      <c r="C329" s="29" t="s">
        <v>588</v>
      </c>
      <c r="D329" s="1">
        <v>5050</v>
      </c>
      <c r="E329" s="1">
        <v>5</v>
      </c>
      <c r="F329" s="1">
        <v>16</v>
      </c>
      <c r="G329" s="13">
        <v>0</v>
      </c>
      <c r="I329" s="13">
        <v>1</v>
      </c>
      <c r="K329" s="10">
        <v>0</v>
      </c>
      <c r="L329" s="4">
        <v>210</v>
      </c>
      <c r="M329" s="4">
        <v>100</v>
      </c>
      <c r="N329" s="19" t="s">
        <v>117</v>
      </c>
      <c r="O329" s="4"/>
      <c r="P329" s="12">
        <v>0</v>
      </c>
    </row>
    <row r="330" spans="1:16" ht="14.25" x14ac:dyDescent="0.15">
      <c r="A330" s="8">
        <v>4949</v>
      </c>
      <c r="B330" s="29" t="s">
        <v>589</v>
      </c>
      <c r="C330" s="29" t="s">
        <v>589</v>
      </c>
      <c r="D330" s="1">
        <v>5050</v>
      </c>
      <c r="E330" s="1">
        <v>5</v>
      </c>
      <c r="F330" s="1">
        <v>16</v>
      </c>
      <c r="G330" s="13">
        <v>0</v>
      </c>
      <c r="I330" s="13">
        <v>1</v>
      </c>
      <c r="K330" s="10">
        <v>0</v>
      </c>
      <c r="L330" s="4">
        <v>210</v>
      </c>
      <c r="M330" s="4">
        <v>100</v>
      </c>
      <c r="N330" s="19" t="s">
        <v>117</v>
      </c>
      <c r="O330" s="4"/>
      <c r="P330" s="12">
        <v>0</v>
      </c>
    </row>
    <row r="331" spans="1:16" ht="14.25" x14ac:dyDescent="0.15">
      <c r="A331" s="8">
        <v>4950</v>
      </c>
      <c r="B331" s="29" t="s">
        <v>590</v>
      </c>
      <c r="C331" s="29" t="s">
        <v>590</v>
      </c>
      <c r="D331" s="1">
        <v>5050</v>
      </c>
      <c r="E331" s="1">
        <v>5</v>
      </c>
      <c r="F331" s="1">
        <v>16</v>
      </c>
      <c r="G331" s="13">
        <v>0</v>
      </c>
      <c r="I331" s="13">
        <v>1</v>
      </c>
      <c r="K331" s="10">
        <v>0</v>
      </c>
      <c r="L331" s="4">
        <v>210</v>
      </c>
      <c r="M331" s="4">
        <v>100</v>
      </c>
      <c r="N331" s="19" t="s">
        <v>117</v>
      </c>
      <c r="O331" s="4"/>
      <c r="P331" s="12">
        <v>0</v>
      </c>
    </row>
    <row r="332" spans="1:16" ht="14.25" x14ac:dyDescent="0.15">
      <c r="A332" s="8">
        <v>4951</v>
      </c>
      <c r="B332" s="29" t="s">
        <v>591</v>
      </c>
      <c r="C332" s="29" t="s">
        <v>591</v>
      </c>
      <c r="D332" s="1">
        <v>5050</v>
      </c>
      <c r="E332" s="1">
        <v>5</v>
      </c>
      <c r="F332" s="1">
        <v>16</v>
      </c>
      <c r="G332" s="13">
        <v>0</v>
      </c>
      <c r="I332" s="13">
        <v>1</v>
      </c>
      <c r="K332" s="10">
        <v>0</v>
      </c>
      <c r="L332" s="4">
        <v>210</v>
      </c>
      <c r="M332" s="4">
        <v>100</v>
      </c>
      <c r="N332" s="19" t="s">
        <v>117</v>
      </c>
      <c r="O332" s="4"/>
      <c r="P332" s="12">
        <v>0</v>
      </c>
    </row>
    <row r="333" spans="1:16" ht="14.25" x14ac:dyDescent="0.15">
      <c r="A333" s="8">
        <v>4952</v>
      </c>
      <c r="B333" s="29" t="s">
        <v>592</v>
      </c>
      <c r="C333" s="29" t="s">
        <v>592</v>
      </c>
      <c r="D333" s="1">
        <v>5050</v>
      </c>
      <c r="E333" s="1">
        <v>5</v>
      </c>
      <c r="F333" s="1">
        <v>16</v>
      </c>
      <c r="G333" s="13">
        <v>0</v>
      </c>
      <c r="I333" s="13">
        <v>1</v>
      </c>
      <c r="K333" s="10">
        <v>0</v>
      </c>
      <c r="L333" s="4">
        <v>210</v>
      </c>
      <c r="M333" s="4">
        <v>100</v>
      </c>
      <c r="N333" s="19" t="s">
        <v>117</v>
      </c>
      <c r="O333" s="4"/>
      <c r="P333" s="12">
        <v>0</v>
      </c>
    </row>
    <row r="334" spans="1:16" ht="14.25" x14ac:dyDescent="0.15">
      <c r="A334" s="8">
        <v>4953</v>
      </c>
      <c r="B334" s="29" t="s">
        <v>593</v>
      </c>
      <c r="C334" s="29" t="s">
        <v>593</v>
      </c>
      <c r="D334" s="1">
        <v>5050</v>
      </c>
      <c r="E334" s="1">
        <v>5</v>
      </c>
      <c r="F334" s="1">
        <v>16</v>
      </c>
      <c r="G334" s="13">
        <v>0</v>
      </c>
      <c r="I334" s="13">
        <v>1</v>
      </c>
      <c r="K334" s="10">
        <v>0</v>
      </c>
      <c r="L334" s="4">
        <v>210</v>
      </c>
      <c r="M334" s="4">
        <v>100</v>
      </c>
      <c r="N334" s="19" t="s">
        <v>117</v>
      </c>
      <c r="O334" s="4"/>
      <c r="P334" s="12">
        <v>0</v>
      </c>
    </row>
    <row r="335" spans="1:16" ht="14.25" x14ac:dyDescent="0.15">
      <c r="A335" s="8">
        <v>4954</v>
      </c>
      <c r="B335" s="29" t="s">
        <v>594</v>
      </c>
      <c r="C335" s="29" t="s">
        <v>594</v>
      </c>
      <c r="D335" s="1">
        <v>5050</v>
      </c>
      <c r="E335" s="1">
        <v>5</v>
      </c>
      <c r="F335" s="1">
        <v>16</v>
      </c>
      <c r="G335" s="13">
        <v>0</v>
      </c>
      <c r="I335" s="13">
        <v>1</v>
      </c>
      <c r="K335" s="10">
        <v>0</v>
      </c>
      <c r="L335" s="4">
        <v>210</v>
      </c>
      <c r="M335" s="4">
        <v>100</v>
      </c>
      <c r="N335" s="19" t="s">
        <v>117</v>
      </c>
      <c r="O335" s="4"/>
      <c r="P335" s="12">
        <v>0</v>
      </c>
    </row>
    <row r="336" spans="1:16" ht="14.25" x14ac:dyDescent="0.15">
      <c r="A336" s="8">
        <v>4955</v>
      </c>
      <c r="B336" s="29" t="s">
        <v>595</v>
      </c>
      <c r="C336" s="29" t="s">
        <v>595</v>
      </c>
      <c r="D336" s="1">
        <v>5050</v>
      </c>
      <c r="E336" s="1">
        <v>5</v>
      </c>
      <c r="F336" s="1">
        <v>16</v>
      </c>
      <c r="G336" s="13">
        <v>0</v>
      </c>
      <c r="I336" s="13">
        <v>1</v>
      </c>
      <c r="K336" s="10">
        <v>0</v>
      </c>
      <c r="L336" s="4">
        <v>210</v>
      </c>
      <c r="M336" s="4">
        <v>100</v>
      </c>
      <c r="N336" s="19" t="s">
        <v>117</v>
      </c>
      <c r="O336" s="4"/>
      <c r="P336" s="12">
        <v>0</v>
      </c>
    </row>
    <row r="337" spans="1:16" ht="14.25" x14ac:dyDescent="0.15">
      <c r="A337" s="8">
        <v>4956</v>
      </c>
      <c r="B337" s="29" t="s">
        <v>596</v>
      </c>
      <c r="C337" s="29" t="s">
        <v>596</v>
      </c>
      <c r="D337" s="1">
        <v>5050</v>
      </c>
      <c r="E337" s="1">
        <v>5</v>
      </c>
      <c r="F337" s="1">
        <v>16</v>
      </c>
      <c r="G337" s="13">
        <v>0</v>
      </c>
      <c r="I337" s="13">
        <v>1</v>
      </c>
      <c r="K337" s="10">
        <v>0</v>
      </c>
      <c r="L337" s="4">
        <v>210</v>
      </c>
      <c r="M337" s="4">
        <v>100</v>
      </c>
      <c r="N337" s="19" t="s">
        <v>117</v>
      </c>
      <c r="O337" s="4"/>
      <c r="P337" s="12">
        <v>0</v>
      </c>
    </row>
    <row r="338" spans="1:16" ht="14.25" x14ac:dyDescent="0.15">
      <c r="A338" s="8">
        <v>4957</v>
      </c>
      <c r="B338" s="29" t="s">
        <v>597</v>
      </c>
      <c r="C338" s="29" t="s">
        <v>597</v>
      </c>
      <c r="D338" s="1">
        <v>5050</v>
      </c>
      <c r="E338" s="1">
        <v>5</v>
      </c>
      <c r="F338" s="1">
        <v>16</v>
      </c>
      <c r="G338" s="13">
        <v>0</v>
      </c>
      <c r="I338" s="13">
        <v>1</v>
      </c>
      <c r="K338" s="10">
        <v>0</v>
      </c>
      <c r="L338" s="4">
        <v>210</v>
      </c>
      <c r="M338" s="4">
        <v>100</v>
      </c>
      <c r="N338" s="19" t="s">
        <v>117</v>
      </c>
      <c r="O338" s="4"/>
      <c r="P338" s="12">
        <v>0</v>
      </c>
    </row>
    <row r="339" spans="1:16" ht="14.25" x14ac:dyDescent="0.15">
      <c r="A339" s="8">
        <v>4958</v>
      </c>
      <c r="B339" s="29" t="s">
        <v>598</v>
      </c>
      <c r="C339" s="29" t="s">
        <v>598</v>
      </c>
      <c r="D339" s="1">
        <v>5050</v>
      </c>
      <c r="E339" s="1">
        <v>5</v>
      </c>
      <c r="F339" s="1">
        <v>16</v>
      </c>
      <c r="G339" s="13">
        <v>0</v>
      </c>
      <c r="I339" s="13">
        <v>1</v>
      </c>
      <c r="K339" s="10">
        <v>0</v>
      </c>
      <c r="L339" s="4">
        <v>210</v>
      </c>
      <c r="M339" s="4">
        <v>100</v>
      </c>
      <c r="N339" s="19" t="s">
        <v>117</v>
      </c>
      <c r="O339" s="4"/>
      <c r="P339" s="12">
        <v>0</v>
      </c>
    </row>
    <row r="340" spans="1:16" ht="14.25" x14ac:dyDescent="0.15">
      <c r="A340" s="8">
        <v>4959</v>
      </c>
      <c r="B340" s="29" t="s">
        <v>599</v>
      </c>
      <c r="C340" s="29" t="s">
        <v>599</v>
      </c>
      <c r="D340" s="1">
        <v>5050</v>
      </c>
      <c r="E340" s="1">
        <v>5</v>
      </c>
      <c r="F340" s="1">
        <v>16</v>
      </c>
      <c r="G340" s="13">
        <v>0</v>
      </c>
      <c r="I340" s="13">
        <v>1</v>
      </c>
      <c r="K340" s="10">
        <v>0</v>
      </c>
      <c r="L340" s="4">
        <v>210</v>
      </c>
      <c r="M340" s="4">
        <v>100</v>
      </c>
      <c r="N340" s="19" t="s">
        <v>117</v>
      </c>
      <c r="O340" s="4"/>
      <c r="P340" s="12">
        <v>0</v>
      </c>
    </row>
    <row r="341" spans="1:16" ht="14.25" x14ac:dyDescent="0.15">
      <c r="A341" s="8">
        <v>4960</v>
      </c>
      <c r="B341" s="29" t="s">
        <v>600</v>
      </c>
      <c r="C341" s="29" t="s">
        <v>600</v>
      </c>
      <c r="D341" s="1">
        <v>5050</v>
      </c>
      <c r="E341" s="1">
        <v>5</v>
      </c>
      <c r="F341" s="1">
        <v>16</v>
      </c>
      <c r="G341" s="13">
        <v>0</v>
      </c>
      <c r="I341" s="13">
        <v>1</v>
      </c>
      <c r="K341" s="10">
        <v>0</v>
      </c>
      <c r="L341" s="4">
        <v>210</v>
      </c>
      <c r="M341" s="4">
        <v>100</v>
      </c>
      <c r="N341" s="19" t="s">
        <v>117</v>
      </c>
      <c r="O341" s="4"/>
      <c r="P341" s="12">
        <v>0</v>
      </c>
    </row>
    <row r="342" spans="1:16" ht="14.25" x14ac:dyDescent="0.15">
      <c r="A342" s="8">
        <v>4961</v>
      </c>
      <c r="B342" s="29" t="s">
        <v>601</v>
      </c>
      <c r="C342" s="29" t="s">
        <v>601</v>
      </c>
      <c r="D342" s="1">
        <v>5050</v>
      </c>
      <c r="E342" s="1">
        <v>5</v>
      </c>
      <c r="F342" s="1">
        <v>16</v>
      </c>
      <c r="G342" s="13">
        <v>0</v>
      </c>
      <c r="I342" s="13">
        <v>1</v>
      </c>
      <c r="K342" s="10">
        <v>0</v>
      </c>
      <c r="L342" s="4">
        <v>210</v>
      </c>
      <c r="M342" s="4">
        <v>100</v>
      </c>
      <c r="N342" s="19" t="s">
        <v>117</v>
      </c>
      <c r="O342" s="4"/>
      <c r="P342" s="12">
        <v>0</v>
      </c>
    </row>
    <row r="343" spans="1:16" ht="14.25" x14ac:dyDescent="0.15">
      <c r="A343" s="8">
        <v>4962</v>
      </c>
      <c r="B343" s="29" t="s">
        <v>602</v>
      </c>
      <c r="C343" s="29" t="s">
        <v>602</v>
      </c>
      <c r="D343" s="1">
        <v>5050</v>
      </c>
      <c r="E343" s="1">
        <v>5</v>
      </c>
      <c r="F343" s="1">
        <v>16</v>
      </c>
      <c r="G343" s="13">
        <v>0</v>
      </c>
      <c r="I343" s="13">
        <v>1</v>
      </c>
      <c r="K343" s="10">
        <v>0</v>
      </c>
      <c r="L343" s="4">
        <v>210</v>
      </c>
      <c r="M343" s="4">
        <v>100</v>
      </c>
      <c r="N343" s="19" t="s">
        <v>117</v>
      </c>
      <c r="O343" s="4"/>
      <c r="P343" s="12">
        <v>0</v>
      </c>
    </row>
    <row r="344" spans="1:16" ht="14.25" x14ac:dyDescent="0.15">
      <c r="A344" s="8">
        <v>4963</v>
      </c>
      <c r="B344" s="29" t="s">
        <v>603</v>
      </c>
      <c r="C344" s="29" t="s">
        <v>603</v>
      </c>
      <c r="D344" s="1">
        <v>5050</v>
      </c>
      <c r="E344" s="1">
        <v>5</v>
      </c>
      <c r="F344" s="1">
        <v>16</v>
      </c>
      <c r="G344" s="13">
        <v>0</v>
      </c>
      <c r="I344" s="13">
        <v>1</v>
      </c>
      <c r="K344" s="10">
        <v>0</v>
      </c>
      <c r="L344" s="4">
        <v>210</v>
      </c>
      <c r="M344" s="4">
        <v>100</v>
      </c>
      <c r="N344" s="19" t="s">
        <v>117</v>
      </c>
      <c r="O344" s="4"/>
      <c r="P344" s="12">
        <v>0</v>
      </c>
    </row>
    <row r="345" spans="1:16" ht="14.25" x14ac:dyDescent="0.15">
      <c r="A345" s="8">
        <v>4964</v>
      </c>
      <c r="B345" s="29" t="s">
        <v>604</v>
      </c>
      <c r="C345" s="29" t="s">
        <v>604</v>
      </c>
      <c r="D345" s="1">
        <v>5050</v>
      </c>
      <c r="E345" s="1">
        <v>5</v>
      </c>
      <c r="F345" s="1">
        <v>16</v>
      </c>
      <c r="G345" s="13">
        <v>0</v>
      </c>
      <c r="I345" s="13">
        <v>1</v>
      </c>
      <c r="K345" s="10">
        <v>0</v>
      </c>
      <c r="L345" s="4">
        <v>210</v>
      </c>
      <c r="M345" s="4">
        <v>100</v>
      </c>
      <c r="N345" s="19" t="s">
        <v>117</v>
      </c>
      <c r="O345" s="4"/>
      <c r="P345" s="12">
        <v>0</v>
      </c>
    </row>
    <row r="346" spans="1:16" ht="14.25" x14ac:dyDescent="0.15">
      <c r="A346" s="8">
        <v>4965</v>
      </c>
      <c r="B346" s="29" t="s">
        <v>605</v>
      </c>
      <c r="C346" s="29" t="s">
        <v>605</v>
      </c>
      <c r="D346" s="1">
        <v>5050</v>
      </c>
      <c r="E346" s="1">
        <v>5</v>
      </c>
      <c r="F346" s="1">
        <v>16</v>
      </c>
      <c r="G346" s="13">
        <v>0</v>
      </c>
      <c r="I346" s="13">
        <v>1</v>
      </c>
      <c r="K346" s="10">
        <v>0</v>
      </c>
      <c r="L346" s="4">
        <v>210</v>
      </c>
      <c r="M346" s="4">
        <v>100</v>
      </c>
      <c r="N346" s="19" t="s">
        <v>117</v>
      </c>
      <c r="O346" s="4"/>
      <c r="P346" s="12">
        <v>0</v>
      </c>
    </row>
    <row r="347" spans="1:16" ht="14.25" x14ac:dyDescent="0.15">
      <c r="A347" s="8">
        <v>4966</v>
      </c>
      <c r="B347" s="29" t="s">
        <v>606</v>
      </c>
      <c r="C347" s="29" t="s">
        <v>606</v>
      </c>
      <c r="D347" s="1">
        <v>5050</v>
      </c>
      <c r="E347" s="1">
        <v>5</v>
      </c>
      <c r="F347" s="1">
        <v>16</v>
      </c>
      <c r="G347" s="13">
        <v>0</v>
      </c>
      <c r="I347" s="13">
        <v>1</v>
      </c>
      <c r="K347" s="10">
        <v>0</v>
      </c>
      <c r="L347" s="4">
        <v>210</v>
      </c>
      <c r="M347" s="4">
        <v>100</v>
      </c>
      <c r="N347" s="19" t="s">
        <v>117</v>
      </c>
      <c r="O347" s="4"/>
      <c r="P347" s="12">
        <v>0</v>
      </c>
    </row>
    <row r="348" spans="1:16" ht="14.25" x14ac:dyDescent="0.15">
      <c r="A348" s="8">
        <v>4967</v>
      </c>
      <c r="B348" s="29" t="s">
        <v>607</v>
      </c>
      <c r="C348" s="29" t="s">
        <v>607</v>
      </c>
      <c r="D348" s="1">
        <v>5050</v>
      </c>
      <c r="E348" s="1">
        <v>5</v>
      </c>
      <c r="F348" s="1">
        <v>16</v>
      </c>
      <c r="G348" s="13">
        <v>0</v>
      </c>
      <c r="I348" s="13">
        <v>1</v>
      </c>
      <c r="K348" s="10">
        <v>0</v>
      </c>
      <c r="L348" s="4">
        <v>210</v>
      </c>
      <c r="M348" s="4">
        <v>100</v>
      </c>
      <c r="N348" s="19" t="s">
        <v>117</v>
      </c>
      <c r="O348" s="4"/>
      <c r="P348" s="12">
        <v>0</v>
      </c>
    </row>
    <row r="349" spans="1:16" ht="14.25" x14ac:dyDescent="0.15">
      <c r="A349" s="8">
        <v>4968</v>
      </c>
      <c r="B349" s="29" t="s">
        <v>608</v>
      </c>
      <c r="C349" s="29" t="s">
        <v>608</v>
      </c>
      <c r="D349" s="1">
        <v>5050</v>
      </c>
      <c r="E349" s="1">
        <v>5</v>
      </c>
      <c r="F349" s="1">
        <v>16</v>
      </c>
      <c r="G349" s="13">
        <v>0</v>
      </c>
      <c r="I349" s="13">
        <v>1</v>
      </c>
      <c r="K349" s="10">
        <v>0</v>
      </c>
      <c r="L349" s="4">
        <v>210</v>
      </c>
      <c r="M349" s="4">
        <v>100</v>
      </c>
      <c r="N349" s="19" t="s">
        <v>117</v>
      </c>
      <c r="O349" s="4"/>
      <c r="P349" s="12">
        <v>0</v>
      </c>
    </row>
    <row r="350" spans="1:16" ht="14.25" x14ac:dyDescent="0.15">
      <c r="A350" s="8">
        <v>4969</v>
      </c>
      <c r="B350" s="29" t="s">
        <v>609</v>
      </c>
      <c r="C350" s="29" t="s">
        <v>609</v>
      </c>
      <c r="D350" s="1">
        <v>5050</v>
      </c>
      <c r="E350" s="1">
        <v>5</v>
      </c>
      <c r="F350" s="1">
        <v>16</v>
      </c>
      <c r="G350" s="13">
        <v>0</v>
      </c>
      <c r="I350" s="13">
        <v>1</v>
      </c>
      <c r="K350" s="10">
        <v>0</v>
      </c>
      <c r="L350" s="4">
        <v>210</v>
      </c>
      <c r="M350" s="4">
        <v>100</v>
      </c>
      <c r="N350" s="19" t="s">
        <v>117</v>
      </c>
      <c r="O350" s="4"/>
      <c r="P350" s="12">
        <v>0</v>
      </c>
    </row>
    <row r="351" spans="1:16" ht="14.25" x14ac:dyDescent="0.15">
      <c r="A351" s="8">
        <v>4970</v>
      </c>
      <c r="B351" s="29" t="s">
        <v>610</v>
      </c>
      <c r="C351" s="29" t="s">
        <v>610</v>
      </c>
      <c r="D351" s="1">
        <v>5050</v>
      </c>
      <c r="E351" s="1">
        <v>5</v>
      </c>
      <c r="F351" s="1">
        <v>16</v>
      </c>
      <c r="G351" s="13">
        <v>0</v>
      </c>
      <c r="I351" s="13">
        <v>1</v>
      </c>
      <c r="K351" s="10">
        <v>0</v>
      </c>
      <c r="L351" s="4">
        <v>210</v>
      </c>
      <c r="M351" s="4">
        <v>100</v>
      </c>
      <c r="N351" s="19" t="s">
        <v>117</v>
      </c>
      <c r="O351" s="4"/>
      <c r="P351" s="12">
        <v>0</v>
      </c>
    </row>
    <row r="352" spans="1:16" ht="14.25" x14ac:dyDescent="0.15">
      <c r="A352" s="8">
        <v>5001</v>
      </c>
      <c r="B352" s="29" t="s">
        <v>611</v>
      </c>
      <c r="C352" s="29" t="s">
        <v>611</v>
      </c>
      <c r="D352" s="1">
        <v>5050</v>
      </c>
      <c r="E352" s="1">
        <v>6</v>
      </c>
      <c r="F352" s="1">
        <v>16</v>
      </c>
      <c r="G352" s="13">
        <v>0</v>
      </c>
      <c r="I352" s="13">
        <v>1</v>
      </c>
      <c r="K352" s="10">
        <v>0</v>
      </c>
      <c r="L352" s="4">
        <v>210</v>
      </c>
      <c r="M352" s="4">
        <v>100</v>
      </c>
      <c r="N352" s="19" t="s">
        <v>117</v>
      </c>
      <c r="O352" s="4"/>
      <c r="P352" s="12">
        <v>0</v>
      </c>
    </row>
    <row r="353" spans="1:16" ht="14.25" x14ac:dyDescent="0.15">
      <c r="A353" s="8">
        <v>5002</v>
      </c>
      <c r="B353" s="29" t="s">
        <v>612</v>
      </c>
      <c r="C353" s="29" t="s">
        <v>612</v>
      </c>
      <c r="D353" s="1">
        <v>5050</v>
      </c>
      <c r="E353" s="1">
        <v>6</v>
      </c>
      <c r="F353" s="1">
        <v>16</v>
      </c>
      <c r="G353" s="13">
        <v>0</v>
      </c>
      <c r="I353" s="13">
        <v>1</v>
      </c>
      <c r="K353" s="10">
        <v>0</v>
      </c>
      <c r="L353" s="4">
        <v>210</v>
      </c>
      <c r="M353" s="4">
        <v>100</v>
      </c>
      <c r="N353" s="19" t="s">
        <v>117</v>
      </c>
      <c r="O353" s="4"/>
      <c r="P353" s="12">
        <v>0</v>
      </c>
    </row>
    <row r="354" spans="1:16" ht="14.25" x14ac:dyDescent="0.15">
      <c r="A354" s="8">
        <v>5003</v>
      </c>
      <c r="B354" s="29" t="s">
        <v>613</v>
      </c>
      <c r="C354" s="29" t="s">
        <v>613</v>
      </c>
      <c r="D354" s="1">
        <v>5050</v>
      </c>
      <c r="E354" s="1">
        <v>6</v>
      </c>
      <c r="F354" s="1">
        <v>16</v>
      </c>
      <c r="G354" s="13">
        <v>0</v>
      </c>
      <c r="I354" s="13">
        <v>1</v>
      </c>
      <c r="K354" s="10">
        <v>0</v>
      </c>
      <c r="L354" s="4">
        <v>210</v>
      </c>
      <c r="M354" s="4">
        <v>100</v>
      </c>
      <c r="N354" s="19" t="s">
        <v>117</v>
      </c>
      <c r="O354" s="4"/>
      <c r="P354" s="12">
        <v>0</v>
      </c>
    </row>
    <row r="355" spans="1:16" ht="14.25" x14ac:dyDescent="0.15">
      <c r="A355" s="8">
        <v>5004</v>
      </c>
      <c r="B355" s="29" t="s">
        <v>614</v>
      </c>
      <c r="C355" s="29" t="s">
        <v>614</v>
      </c>
      <c r="D355" s="1">
        <v>5050</v>
      </c>
      <c r="E355" s="1">
        <v>6</v>
      </c>
      <c r="F355" s="1">
        <v>16</v>
      </c>
      <c r="G355" s="13">
        <v>0</v>
      </c>
      <c r="I355" s="13">
        <v>1</v>
      </c>
      <c r="K355" s="10">
        <v>0</v>
      </c>
      <c r="L355" s="4">
        <v>210</v>
      </c>
      <c r="M355" s="4">
        <v>100</v>
      </c>
      <c r="N355" s="19" t="s">
        <v>117</v>
      </c>
      <c r="O355" s="4"/>
      <c r="P355" s="12">
        <v>0</v>
      </c>
    </row>
    <row r="356" spans="1:16" ht="14.25" x14ac:dyDescent="0.15">
      <c r="A356" s="8">
        <v>5005</v>
      </c>
      <c r="B356" s="29" t="s">
        <v>615</v>
      </c>
      <c r="C356" s="29" t="s">
        <v>615</v>
      </c>
      <c r="D356" s="1">
        <v>5050</v>
      </c>
      <c r="E356" s="1">
        <v>6</v>
      </c>
      <c r="F356" s="1">
        <v>16</v>
      </c>
      <c r="G356" s="13">
        <v>0</v>
      </c>
      <c r="I356" s="13">
        <v>1</v>
      </c>
      <c r="K356" s="10">
        <v>0</v>
      </c>
      <c r="L356" s="4">
        <v>210</v>
      </c>
      <c r="M356" s="4">
        <v>100</v>
      </c>
      <c r="N356" s="19" t="s">
        <v>117</v>
      </c>
      <c r="O356" s="4"/>
      <c r="P356" s="12">
        <v>0</v>
      </c>
    </row>
    <row r="357" spans="1:16" ht="14.25" x14ac:dyDescent="0.15">
      <c r="A357" s="8">
        <v>5006</v>
      </c>
      <c r="B357" s="29" t="s">
        <v>616</v>
      </c>
      <c r="C357" s="29" t="s">
        <v>616</v>
      </c>
      <c r="D357" s="1">
        <v>5050</v>
      </c>
      <c r="E357" s="1">
        <v>6</v>
      </c>
      <c r="F357" s="1">
        <v>16</v>
      </c>
      <c r="G357" s="13">
        <v>0</v>
      </c>
      <c r="I357" s="13">
        <v>1</v>
      </c>
      <c r="K357" s="10">
        <v>0</v>
      </c>
      <c r="L357" s="4">
        <v>210</v>
      </c>
      <c r="M357" s="4">
        <v>100</v>
      </c>
      <c r="N357" s="19" t="s">
        <v>117</v>
      </c>
      <c r="O357" s="4"/>
      <c r="P357" s="12">
        <v>0</v>
      </c>
    </row>
    <row r="358" spans="1:16" ht="14.25" x14ac:dyDescent="0.15">
      <c r="A358" s="8">
        <v>5007</v>
      </c>
      <c r="B358" s="29" t="s">
        <v>617</v>
      </c>
      <c r="C358" s="29" t="s">
        <v>617</v>
      </c>
      <c r="D358" s="1">
        <v>5050</v>
      </c>
      <c r="E358" s="1">
        <v>6</v>
      </c>
      <c r="F358" s="1">
        <v>16</v>
      </c>
      <c r="G358" s="13">
        <v>0</v>
      </c>
      <c r="I358" s="13">
        <v>1</v>
      </c>
      <c r="K358" s="10">
        <v>0</v>
      </c>
      <c r="L358" s="4">
        <v>210</v>
      </c>
      <c r="M358" s="4">
        <v>100</v>
      </c>
      <c r="N358" s="19" t="s">
        <v>117</v>
      </c>
      <c r="O358" s="4"/>
      <c r="P358" s="12">
        <v>0</v>
      </c>
    </row>
    <row r="359" spans="1:16" ht="14.25" x14ac:dyDescent="0.15">
      <c r="A359" s="8">
        <v>5008</v>
      </c>
      <c r="B359" s="29" t="s">
        <v>618</v>
      </c>
      <c r="C359" s="29" t="s">
        <v>618</v>
      </c>
      <c r="D359" s="1">
        <v>5050</v>
      </c>
      <c r="E359" s="1">
        <v>6</v>
      </c>
      <c r="F359" s="1">
        <v>16</v>
      </c>
      <c r="G359" s="13">
        <v>0</v>
      </c>
      <c r="I359" s="13">
        <v>1</v>
      </c>
      <c r="K359" s="10">
        <v>0</v>
      </c>
      <c r="L359" s="4">
        <v>210</v>
      </c>
      <c r="M359" s="4">
        <v>100</v>
      </c>
      <c r="N359" s="19" t="s">
        <v>117</v>
      </c>
      <c r="O359" s="4"/>
      <c r="P359" s="12">
        <v>0</v>
      </c>
    </row>
    <row r="360" spans="1:16" ht="14.25" x14ac:dyDescent="0.15">
      <c r="A360" s="8">
        <v>5009</v>
      </c>
      <c r="B360" s="29" t="s">
        <v>619</v>
      </c>
      <c r="C360" s="29" t="s">
        <v>619</v>
      </c>
      <c r="D360" s="1">
        <v>5050</v>
      </c>
      <c r="E360" s="1">
        <v>6</v>
      </c>
      <c r="F360" s="1">
        <v>16</v>
      </c>
      <c r="G360" s="13">
        <v>0</v>
      </c>
      <c r="I360" s="13">
        <v>1</v>
      </c>
      <c r="K360" s="10">
        <v>0</v>
      </c>
      <c r="L360" s="4">
        <v>210</v>
      </c>
      <c r="M360" s="4">
        <v>100</v>
      </c>
      <c r="N360" s="19" t="s">
        <v>117</v>
      </c>
      <c r="O360" s="4"/>
      <c r="P360" s="12">
        <v>0</v>
      </c>
    </row>
    <row r="361" spans="1:16" ht="14.25" x14ac:dyDescent="0.15">
      <c r="A361" s="8">
        <v>5010</v>
      </c>
      <c r="B361" s="29" t="s">
        <v>620</v>
      </c>
      <c r="C361" s="29" t="s">
        <v>620</v>
      </c>
      <c r="D361" s="1">
        <v>5050</v>
      </c>
      <c r="E361" s="1">
        <v>6</v>
      </c>
      <c r="F361" s="1">
        <v>16</v>
      </c>
      <c r="G361" s="13">
        <v>0</v>
      </c>
      <c r="I361" s="13">
        <v>1</v>
      </c>
      <c r="K361" s="10">
        <v>0</v>
      </c>
      <c r="L361" s="4">
        <v>210</v>
      </c>
      <c r="M361" s="4">
        <v>100</v>
      </c>
      <c r="N361" s="19" t="s">
        <v>117</v>
      </c>
      <c r="O361" s="4"/>
      <c r="P361" s="12">
        <v>0</v>
      </c>
    </row>
    <row r="362" spans="1:16" ht="14.25" x14ac:dyDescent="0.15">
      <c r="A362" s="8">
        <v>5011</v>
      </c>
      <c r="B362" s="29" t="s">
        <v>621</v>
      </c>
      <c r="C362" s="29" t="s">
        <v>621</v>
      </c>
      <c r="D362" s="1">
        <v>5050</v>
      </c>
      <c r="E362" s="1">
        <v>6</v>
      </c>
      <c r="F362" s="1">
        <v>16</v>
      </c>
      <c r="G362" s="13">
        <v>0</v>
      </c>
      <c r="I362" s="13">
        <v>1</v>
      </c>
      <c r="K362" s="10">
        <v>0</v>
      </c>
      <c r="L362" s="4">
        <v>210</v>
      </c>
      <c r="M362" s="4">
        <v>100</v>
      </c>
      <c r="N362" s="19" t="s">
        <v>117</v>
      </c>
      <c r="O362" s="4"/>
      <c r="P362" s="12">
        <v>0</v>
      </c>
    </row>
    <row r="363" spans="1:16" ht="14.25" x14ac:dyDescent="0.15">
      <c r="A363" s="8">
        <v>5012</v>
      </c>
      <c r="B363" s="29" t="s">
        <v>622</v>
      </c>
      <c r="C363" s="29" t="s">
        <v>622</v>
      </c>
      <c r="D363" s="1">
        <v>5050</v>
      </c>
      <c r="E363" s="1">
        <v>6</v>
      </c>
      <c r="F363" s="1">
        <v>16</v>
      </c>
      <c r="G363" s="13">
        <v>0</v>
      </c>
      <c r="I363" s="13">
        <v>1</v>
      </c>
      <c r="K363" s="10">
        <v>0</v>
      </c>
      <c r="L363" s="4">
        <v>210</v>
      </c>
      <c r="M363" s="4">
        <v>100</v>
      </c>
      <c r="N363" s="19" t="s">
        <v>117</v>
      </c>
      <c r="O363" s="4"/>
      <c r="P363" s="12">
        <v>0</v>
      </c>
    </row>
    <row r="364" spans="1:16" ht="14.25" x14ac:dyDescent="0.15">
      <c r="A364" s="8">
        <v>5013</v>
      </c>
      <c r="B364" s="29" t="s">
        <v>623</v>
      </c>
      <c r="C364" s="29" t="s">
        <v>623</v>
      </c>
      <c r="D364" s="1">
        <v>5050</v>
      </c>
      <c r="E364" s="1">
        <v>6</v>
      </c>
      <c r="F364" s="1">
        <v>16</v>
      </c>
      <c r="G364" s="13">
        <v>0</v>
      </c>
      <c r="I364" s="13">
        <v>1</v>
      </c>
      <c r="K364" s="10">
        <v>0</v>
      </c>
      <c r="L364" s="4">
        <v>210</v>
      </c>
      <c r="M364" s="4">
        <v>100</v>
      </c>
      <c r="N364" s="19" t="s">
        <v>117</v>
      </c>
      <c r="O364" s="4"/>
      <c r="P364" s="12">
        <v>0</v>
      </c>
    </row>
    <row r="365" spans="1:16" ht="14.25" x14ac:dyDescent="0.15">
      <c r="A365" s="8">
        <v>5014</v>
      </c>
      <c r="B365" s="29" t="s">
        <v>624</v>
      </c>
      <c r="C365" s="29" t="s">
        <v>624</v>
      </c>
      <c r="D365" s="1">
        <v>5050</v>
      </c>
      <c r="E365" s="1">
        <v>6</v>
      </c>
      <c r="F365" s="1">
        <v>16</v>
      </c>
      <c r="G365" s="13">
        <v>0</v>
      </c>
      <c r="I365" s="13">
        <v>1</v>
      </c>
      <c r="K365" s="10">
        <v>0</v>
      </c>
      <c r="L365" s="4">
        <v>210</v>
      </c>
      <c r="M365" s="4">
        <v>100</v>
      </c>
      <c r="N365" s="19" t="s">
        <v>117</v>
      </c>
      <c r="O365" s="4"/>
      <c r="P365" s="12">
        <v>0</v>
      </c>
    </row>
    <row r="366" spans="1:16" ht="14.25" x14ac:dyDescent="0.15">
      <c r="A366" s="8">
        <v>5015</v>
      </c>
      <c r="B366" s="29" t="s">
        <v>625</v>
      </c>
      <c r="C366" s="29" t="s">
        <v>625</v>
      </c>
      <c r="D366" s="1">
        <v>5050</v>
      </c>
      <c r="E366" s="1">
        <v>6</v>
      </c>
      <c r="F366" s="1">
        <v>16</v>
      </c>
      <c r="G366" s="13">
        <v>0</v>
      </c>
      <c r="I366" s="13">
        <v>1</v>
      </c>
      <c r="K366" s="10">
        <v>0</v>
      </c>
      <c r="L366" s="4">
        <v>210</v>
      </c>
      <c r="M366" s="4">
        <v>100</v>
      </c>
      <c r="N366" s="19" t="s">
        <v>117</v>
      </c>
      <c r="O366" s="4"/>
      <c r="P366" s="12">
        <v>0</v>
      </c>
    </row>
    <row r="367" spans="1:16" ht="14.25" x14ac:dyDescent="0.15">
      <c r="A367" s="8">
        <v>5016</v>
      </c>
      <c r="B367" s="29" t="s">
        <v>626</v>
      </c>
      <c r="C367" s="29" t="s">
        <v>626</v>
      </c>
      <c r="D367" s="1">
        <v>5050</v>
      </c>
      <c r="E367" s="1">
        <v>6</v>
      </c>
      <c r="F367" s="1">
        <v>16</v>
      </c>
      <c r="G367" s="13">
        <v>0</v>
      </c>
      <c r="I367" s="13">
        <v>1</v>
      </c>
      <c r="K367" s="10">
        <v>0</v>
      </c>
      <c r="L367" s="4">
        <v>210</v>
      </c>
      <c r="M367" s="4">
        <v>100</v>
      </c>
      <c r="N367" s="19" t="s">
        <v>117</v>
      </c>
      <c r="O367" s="4"/>
      <c r="P367" s="12">
        <v>0</v>
      </c>
    </row>
    <row r="368" spans="1:16" ht="14.25" x14ac:dyDescent="0.15">
      <c r="A368" s="8">
        <v>5017</v>
      </c>
      <c r="B368" s="29" t="s">
        <v>627</v>
      </c>
      <c r="C368" s="29" t="s">
        <v>627</v>
      </c>
      <c r="D368" s="1">
        <v>5050</v>
      </c>
      <c r="E368" s="1">
        <v>6</v>
      </c>
      <c r="F368" s="1">
        <v>16</v>
      </c>
      <c r="G368" s="13">
        <v>0</v>
      </c>
      <c r="I368" s="13">
        <v>1</v>
      </c>
      <c r="K368" s="10">
        <v>0</v>
      </c>
      <c r="L368" s="4">
        <v>210</v>
      </c>
      <c r="M368" s="4">
        <v>100</v>
      </c>
      <c r="N368" s="19" t="s">
        <v>117</v>
      </c>
      <c r="O368" s="4"/>
      <c r="P368" s="12">
        <v>0</v>
      </c>
    </row>
    <row r="369" spans="1:16" ht="14.25" x14ac:dyDescent="0.15">
      <c r="A369" s="8">
        <v>5018</v>
      </c>
      <c r="B369" s="29" t="s">
        <v>628</v>
      </c>
      <c r="C369" s="29" t="s">
        <v>628</v>
      </c>
      <c r="D369" s="1">
        <v>5050</v>
      </c>
      <c r="E369" s="1">
        <v>6</v>
      </c>
      <c r="F369" s="1">
        <v>16</v>
      </c>
      <c r="G369" s="13">
        <v>0</v>
      </c>
      <c r="I369" s="13">
        <v>1</v>
      </c>
      <c r="K369" s="10">
        <v>0</v>
      </c>
      <c r="L369" s="4">
        <v>210</v>
      </c>
      <c r="M369" s="4">
        <v>100</v>
      </c>
      <c r="N369" s="19" t="s">
        <v>117</v>
      </c>
      <c r="O369" s="4"/>
      <c r="P369" s="12">
        <v>0</v>
      </c>
    </row>
    <row r="370" spans="1:16" ht="14.25" x14ac:dyDescent="0.15">
      <c r="A370" s="8">
        <v>5019</v>
      </c>
      <c r="B370" s="29" t="s">
        <v>629</v>
      </c>
      <c r="C370" s="29" t="s">
        <v>629</v>
      </c>
      <c r="D370" s="1">
        <v>5050</v>
      </c>
      <c r="E370" s="1">
        <v>6</v>
      </c>
      <c r="F370" s="1">
        <v>16</v>
      </c>
      <c r="G370" s="13">
        <v>0</v>
      </c>
      <c r="I370" s="13">
        <v>1</v>
      </c>
      <c r="K370" s="10">
        <v>0</v>
      </c>
      <c r="L370" s="4">
        <v>210</v>
      </c>
      <c r="M370" s="4">
        <v>100</v>
      </c>
      <c r="N370" s="19" t="s">
        <v>117</v>
      </c>
      <c r="O370" s="4"/>
      <c r="P370" s="12">
        <v>0</v>
      </c>
    </row>
    <row r="371" spans="1:16" ht="14.25" x14ac:dyDescent="0.15">
      <c r="A371" s="8">
        <v>5020</v>
      </c>
      <c r="B371" s="29" t="s">
        <v>630</v>
      </c>
      <c r="C371" s="29" t="s">
        <v>630</v>
      </c>
      <c r="D371" s="1">
        <v>5050</v>
      </c>
      <c r="E371" s="1">
        <v>6</v>
      </c>
      <c r="F371" s="1">
        <v>16</v>
      </c>
      <c r="G371" s="13">
        <v>0</v>
      </c>
      <c r="I371" s="13">
        <v>1</v>
      </c>
      <c r="K371" s="10">
        <v>0</v>
      </c>
      <c r="L371" s="4">
        <v>210</v>
      </c>
      <c r="M371" s="4">
        <v>100</v>
      </c>
      <c r="N371" s="19" t="s">
        <v>117</v>
      </c>
      <c r="O371" s="4"/>
      <c r="P371" s="12">
        <v>0</v>
      </c>
    </row>
    <row r="372" spans="1:16" ht="14.25" x14ac:dyDescent="0.15">
      <c r="A372" s="8">
        <v>5021</v>
      </c>
      <c r="B372" s="29" t="s">
        <v>631</v>
      </c>
      <c r="C372" s="29" t="s">
        <v>631</v>
      </c>
      <c r="D372" s="1">
        <v>5050</v>
      </c>
      <c r="E372" s="1">
        <v>6</v>
      </c>
      <c r="F372" s="1">
        <v>16</v>
      </c>
      <c r="G372" s="13">
        <v>0</v>
      </c>
      <c r="I372" s="13">
        <v>1</v>
      </c>
      <c r="K372" s="10">
        <v>0</v>
      </c>
      <c r="L372" s="4">
        <v>210</v>
      </c>
      <c r="M372" s="4">
        <v>100</v>
      </c>
      <c r="N372" s="19" t="s">
        <v>117</v>
      </c>
      <c r="O372" s="4"/>
      <c r="P372" s="12">
        <v>0</v>
      </c>
    </row>
    <row r="373" spans="1:16" ht="14.25" x14ac:dyDescent="0.15">
      <c r="A373" s="8">
        <v>5022</v>
      </c>
      <c r="B373" s="29" t="s">
        <v>632</v>
      </c>
      <c r="C373" s="29" t="s">
        <v>632</v>
      </c>
      <c r="D373" s="1">
        <v>5050</v>
      </c>
      <c r="E373" s="1">
        <v>6</v>
      </c>
      <c r="F373" s="1">
        <v>16</v>
      </c>
      <c r="G373" s="13">
        <v>0</v>
      </c>
      <c r="I373" s="13">
        <v>1</v>
      </c>
      <c r="K373" s="10">
        <v>0</v>
      </c>
      <c r="L373" s="4">
        <v>210</v>
      </c>
      <c r="M373" s="4">
        <v>100</v>
      </c>
      <c r="N373" s="19" t="s">
        <v>117</v>
      </c>
      <c r="O373" s="4"/>
      <c r="P373" s="12">
        <v>0</v>
      </c>
    </row>
    <row r="374" spans="1:16" ht="14.25" x14ac:dyDescent="0.15">
      <c r="A374" s="8">
        <v>5023</v>
      </c>
      <c r="B374" s="29" t="s">
        <v>633</v>
      </c>
      <c r="C374" s="29" t="s">
        <v>633</v>
      </c>
      <c r="D374" s="1">
        <v>5050</v>
      </c>
      <c r="E374" s="1">
        <v>6</v>
      </c>
      <c r="F374" s="1">
        <v>16</v>
      </c>
      <c r="G374" s="13">
        <v>0</v>
      </c>
      <c r="I374" s="13">
        <v>1</v>
      </c>
      <c r="K374" s="10">
        <v>0</v>
      </c>
      <c r="L374" s="4">
        <v>210</v>
      </c>
      <c r="M374" s="4">
        <v>100</v>
      </c>
      <c r="N374" s="19" t="s">
        <v>117</v>
      </c>
      <c r="O374" s="4"/>
      <c r="P374" s="12">
        <v>0</v>
      </c>
    </row>
    <row r="375" spans="1:16" ht="14.25" x14ac:dyDescent="0.15">
      <c r="A375" s="8">
        <v>5024</v>
      </c>
      <c r="B375" s="29" t="s">
        <v>634</v>
      </c>
      <c r="C375" s="29" t="s">
        <v>634</v>
      </c>
      <c r="D375" s="1">
        <v>5050</v>
      </c>
      <c r="E375" s="1">
        <v>6</v>
      </c>
      <c r="F375" s="1">
        <v>16</v>
      </c>
      <c r="G375" s="13">
        <v>0</v>
      </c>
      <c r="I375" s="13">
        <v>1</v>
      </c>
      <c r="K375" s="10">
        <v>0</v>
      </c>
      <c r="L375" s="4">
        <v>210</v>
      </c>
      <c r="M375" s="4">
        <v>100</v>
      </c>
      <c r="N375" s="19" t="s">
        <v>117</v>
      </c>
      <c r="O375" s="4"/>
      <c r="P375" s="12">
        <v>0</v>
      </c>
    </row>
    <row r="376" spans="1:16" ht="14.25" x14ac:dyDescent="0.15">
      <c r="A376" s="8">
        <v>5025</v>
      </c>
      <c r="B376" s="29" t="s">
        <v>635</v>
      </c>
      <c r="C376" s="29" t="s">
        <v>635</v>
      </c>
      <c r="D376" s="1">
        <v>5050</v>
      </c>
      <c r="E376" s="1">
        <v>6</v>
      </c>
      <c r="F376" s="1">
        <v>16</v>
      </c>
      <c r="G376" s="13">
        <v>0</v>
      </c>
      <c r="I376" s="13">
        <v>1</v>
      </c>
      <c r="K376" s="10">
        <v>0</v>
      </c>
      <c r="L376" s="4">
        <v>210</v>
      </c>
      <c r="M376" s="4">
        <v>100</v>
      </c>
      <c r="N376" s="19" t="s">
        <v>117</v>
      </c>
      <c r="O376" s="4"/>
      <c r="P376" s="12">
        <v>0</v>
      </c>
    </row>
    <row r="377" spans="1:16" ht="14.25" x14ac:dyDescent="0.15">
      <c r="A377" s="8">
        <v>5026</v>
      </c>
      <c r="B377" s="29" t="s">
        <v>636</v>
      </c>
      <c r="C377" s="29" t="s">
        <v>636</v>
      </c>
      <c r="D377" s="1">
        <v>5050</v>
      </c>
      <c r="E377" s="1">
        <v>6</v>
      </c>
      <c r="F377" s="1">
        <v>16</v>
      </c>
      <c r="G377" s="13">
        <v>0</v>
      </c>
      <c r="I377" s="13">
        <v>1</v>
      </c>
      <c r="K377" s="10">
        <v>0</v>
      </c>
      <c r="L377" s="4">
        <v>210</v>
      </c>
      <c r="M377" s="4">
        <v>100</v>
      </c>
      <c r="N377" s="19" t="s">
        <v>117</v>
      </c>
      <c r="O377" s="4"/>
      <c r="P377" s="12">
        <v>0</v>
      </c>
    </row>
    <row r="378" spans="1:16" ht="14.25" x14ac:dyDescent="0.15">
      <c r="A378" s="8">
        <v>5027</v>
      </c>
      <c r="B378" s="29" t="s">
        <v>637</v>
      </c>
      <c r="C378" s="29" t="s">
        <v>637</v>
      </c>
      <c r="D378" s="1">
        <v>5050</v>
      </c>
      <c r="E378" s="1">
        <v>6</v>
      </c>
      <c r="F378" s="1">
        <v>16</v>
      </c>
      <c r="G378" s="13">
        <v>0</v>
      </c>
      <c r="I378" s="13">
        <v>1</v>
      </c>
      <c r="K378" s="10">
        <v>0</v>
      </c>
      <c r="L378" s="4">
        <v>210</v>
      </c>
      <c r="M378" s="4">
        <v>100</v>
      </c>
      <c r="N378" s="19" t="s">
        <v>117</v>
      </c>
      <c r="O378" s="4"/>
      <c r="P378" s="12">
        <v>0</v>
      </c>
    </row>
    <row r="379" spans="1:16" ht="14.25" x14ac:dyDescent="0.15">
      <c r="A379" s="8">
        <v>5028</v>
      </c>
      <c r="B379" s="29" t="s">
        <v>638</v>
      </c>
      <c r="C379" s="29" t="s">
        <v>638</v>
      </c>
      <c r="D379" s="1">
        <v>5050</v>
      </c>
      <c r="E379" s="1">
        <v>6</v>
      </c>
      <c r="F379" s="1">
        <v>16</v>
      </c>
      <c r="G379" s="13">
        <v>0</v>
      </c>
      <c r="I379" s="13">
        <v>1</v>
      </c>
      <c r="K379" s="10">
        <v>0</v>
      </c>
      <c r="L379" s="4">
        <v>210</v>
      </c>
      <c r="M379" s="4">
        <v>100</v>
      </c>
      <c r="N379" s="19" t="s">
        <v>117</v>
      </c>
      <c r="O379" s="4"/>
      <c r="P379" s="12">
        <v>0</v>
      </c>
    </row>
    <row r="380" spans="1:16" ht="14.25" x14ac:dyDescent="0.15">
      <c r="A380" s="8">
        <v>5029</v>
      </c>
      <c r="B380" s="29" t="s">
        <v>639</v>
      </c>
      <c r="C380" s="29" t="s">
        <v>639</v>
      </c>
      <c r="D380" s="1">
        <v>5050</v>
      </c>
      <c r="E380" s="1">
        <v>6</v>
      </c>
      <c r="F380" s="1">
        <v>16</v>
      </c>
      <c r="G380" s="13">
        <v>0</v>
      </c>
      <c r="I380" s="13">
        <v>1</v>
      </c>
      <c r="K380" s="10">
        <v>0</v>
      </c>
      <c r="L380" s="4">
        <v>210</v>
      </c>
      <c r="M380" s="4">
        <v>100</v>
      </c>
      <c r="N380" s="19" t="s">
        <v>117</v>
      </c>
      <c r="O380" s="4"/>
      <c r="P380" s="12">
        <v>0</v>
      </c>
    </row>
    <row r="381" spans="1:16" ht="14.25" x14ac:dyDescent="0.15">
      <c r="A381" s="8">
        <v>5030</v>
      </c>
      <c r="B381" s="29" t="s">
        <v>640</v>
      </c>
      <c r="C381" s="29" t="s">
        <v>640</v>
      </c>
      <c r="D381" s="1">
        <v>5050</v>
      </c>
      <c r="E381" s="1">
        <v>6</v>
      </c>
      <c r="F381" s="1">
        <v>16</v>
      </c>
      <c r="G381" s="13">
        <v>0</v>
      </c>
      <c r="I381" s="13">
        <v>1</v>
      </c>
      <c r="K381" s="10">
        <v>0</v>
      </c>
      <c r="L381" s="4">
        <v>210</v>
      </c>
      <c r="M381" s="4">
        <v>100</v>
      </c>
      <c r="N381" s="19" t="s">
        <v>117</v>
      </c>
      <c r="O381" s="4"/>
      <c r="P381" s="12">
        <v>0</v>
      </c>
    </row>
    <row r="382" spans="1:16" ht="14.25" x14ac:dyDescent="0.15">
      <c r="A382" s="8">
        <v>5031</v>
      </c>
      <c r="B382" s="29" t="s">
        <v>641</v>
      </c>
      <c r="C382" s="29" t="s">
        <v>641</v>
      </c>
      <c r="D382" s="1">
        <v>5050</v>
      </c>
      <c r="E382" s="1">
        <v>6</v>
      </c>
      <c r="F382" s="1">
        <v>16</v>
      </c>
      <c r="G382" s="13">
        <v>0</v>
      </c>
      <c r="I382" s="13">
        <v>1</v>
      </c>
      <c r="K382" s="10">
        <v>0</v>
      </c>
      <c r="L382" s="4">
        <v>210</v>
      </c>
      <c r="M382" s="4">
        <v>100</v>
      </c>
      <c r="N382" s="19" t="s">
        <v>117</v>
      </c>
      <c r="O382" s="4"/>
      <c r="P382" s="12">
        <v>0</v>
      </c>
    </row>
    <row r="383" spans="1:16" ht="14.25" x14ac:dyDescent="0.15">
      <c r="A383" s="8">
        <v>5032</v>
      </c>
      <c r="B383" s="29" t="s">
        <v>642</v>
      </c>
      <c r="C383" s="29" t="s">
        <v>642</v>
      </c>
      <c r="D383" s="1">
        <v>5050</v>
      </c>
      <c r="E383" s="1">
        <v>6</v>
      </c>
      <c r="F383" s="1">
        <v>16</v>
      </c>
      <c r="G383" s="13">
        <v>0</v>
      </c>
      <c r="I383" s="13">
        <v>1</v>
      </c>
      <c r="K383" s="10">
        <v>0</v>
      </c>
      <c r="L383" s="4">
        <v>210</v>
      </c>
      <c r="M383" s="4">
        <v>100</v>
      </c>
      <c r="N383" s="19" t="s">
        <v>117</v>
      </c>
      <c r="O383" s="4"/>
      <c r="P383" s="12">
        <v>0</v>
      </c>
    </row>
    <row r="384" spans="1:16" ht="14.25" x14ac:dyDescent="0.15">
      <c r="A384" s="8">
        <v>5033</v>
      </c>
      <c r="B384" s="29" t="s">
        <v>643</v>
      </c>
      <c r="C384" s="29" t="s">
        <v>643</v>
      </c>
      <c r="D384" s="1">
        <v>5050</v>
      </c>
      <c r="E384" s="1">
        <v>6</v>
      </c>
      <c r="F384" s="1">
        <v>16</v>
      </c>
      <c r="G384" s="13">
        <v>0</v>
      </c>
      <c r="I384" s="13">
        <v>1</v>
      </c>
      <c r="K384" s="10">
        <v>0</v>
      </c>
      <c r="L384" s="4">
        <v>210</v>
      </c>
      <c r="M384" s="4">
        <v>100</v>
      </c>
      <c r="N384" s="19" t="s">
        <v>117</v>
      </c>
      <c r="O384" s="4"/>
      <c r="P384" s="12">
        <v>0</v>
      </c>
    </row>
    <row r="385" spans="1:16" ht="14.25" x14ac:dyDescent="0.15">
      <c r="A385" s="8">
        <v>5034</v>
      </c>
      <c r="B385" s="29" t="s">
        <v>644</v>
      </c>
      <c r="C385" s="29" t="s">
        <v>644</v>
      </c>
      <c r="D385" s="1">
        <v>5050</v>
      </c>
      <c r="E385" s="1">
        <v>6</v>
      </c>
      <c r="F385" s="1">
        <v>16</v>
      </c>
      <c r="G385" s="13">
        <v>0</v>
      </c>
      <c r="I385" s="13">
        <v>1</v>
      </c>
      <c r="K385" s="10">
        <v>0</v>
      </c>
      <c r="L385" s="4">
        <v>210</v>
      </c>
      <c r="M385" s="4">
        <v>100</v>
      </c>
      <c r="N385" s="19" t="s">
        <v>117</v>
      </c>
      <c r="O385" s="4"/>
      <c r="P385" s="12">
        <v>0</v>
      </c>
    </row>
    <row r="386" spans="1:16" ht="14.25" x14ac:dyDescent="0.15">
      <c r="A386" s="8">
        <v>5035</v>
      </c>
      <c r="B386" s="29" t="s">
        <v>645</v>
      </c>
      <c r="C386" s="29" t="s">
        <v>645</v>
      </c>
      <c r="D386" s="1">
        <v>5050</v>
      </c>
      <c r="E386" s="1">
        <v>6</v>
      </c>
      <c r="F386" s="1">
        <v>16</v>
      </c>
      <c r="G386" s="13">
        <v>0</v>
      </c>
      <c r="I386" s="13">
        <v>1</v>
      </c>
      <c r="K386" s="10">
        <v>0</v>
      </c>
      <c r="L386" s="4">
        <v>210</v>
      </c>
      <c r="M386" s="4">
        <v>100</v>
      </c>
      <c r="N386" s="19" t="s">
        <v>117</v>
      </c>
      <c r="O386" s="4"/>
      <c r="P386" s="12">
        <v>0</v>
      </c>
    </row>
    <row r="387" spans="1:16" ht="14.25" x14ac:dyDescent="0.15">
      <c r="A387" s="8">
        <v>5036</v>
      </c>
      <c r="B387" s="29" t="s">
        <v>646</v>
      </c>
      <c r="C387" s="29" t="s">
        <v>646</v>
      </c>
      <c r="D387" s="1">
        <v>5050</v>
      </c>
      <c r="E387" s="1">
        <v>6</v>
      </c>
      <c r="F387" s="1">
        <v>16</v>
      </c>
      <c r="G387" s="13">
        <v>0</v>
      </c>
      <c r="I387" s="13">
        <v>1</v>
      </c>
      <c r="K387" s="10">
        <v>0</v>
      </c>
      <c r="L387" s="4">
        <v>210</v>
      </c>
      <c r="M387" s="4">
        <v>100</v>
      </c>
      <c r="N387" s="19" t="s">
        <v>117</v>
      </c>
      <c r="O387" s="4"/>
      <c r="P387" s="12">
        <v>0</v>
      </c>
    </row>
    <row r="388" spans="1:16" ht="14.25" x14ac:dyDescent="0.15">
      <c r="A388" s="8">
        <v>5037</v>
      </c>
      <c r="B388" s="29" t="s">
        <v>647</v>
      </c>
      <c r="C388" s="29" t="s">
        <v>647</v>
      </c>
      <c r="D388" s="1">
        <v>5050</v>
      </c>
      <c r="E388" s="1">
        <v>6</v>
      </c>
      <c r="F388" s="1">
        <v>16</v>
      </c>
      <c r="G388" s="13">
        <v>0</v>
      </c>
      <c r="I388" s="13">
        <v>1</v>
      </c>
      <c r="K388" s="10">
        <v>0</v>
      </c>
      <c r="L388" s="4">
        <v>210</v>
      </c>
      <c r="M388" s="4">
        <v>100</v>
      </c>
      <c r="N388" s="19" t="s">
        <v>117</v>
      </c>
      <c r="O388" s="4"/>
      <c r="P388" s="12">
        <v>0</v>
      </c>
    </row>
    <row r="389" spans="1:16" ht="14.25" x14ac:dyDescent="0.15">
      <c r="A389" s="8">
        <v>5038</v>
      </c>
      <c r="B389" s="29" t="s">
        <v>648</v>
      </c>
      <c r="C389" s="29" t="s">
        <v>648</v>
      </c>
      <c r="D389" s="1">
        <v>5050</v>
      </c>
      <c r="E389" s="1">
        <v>6</v>
      </c>
      <c r="F389" s="1">
        <v>16</v>
      </c>
      <c r="G389" s="13">
        <v>0</v>
      </c>
      <c r="I389" s="13">
        <v>1</v>
      </c>
      <c r="K389" s="10">
        <v>0</v>
      </c>
      <c r="L389" s="4">
        <v>210</v>
      </c>
      <c r="M389" s="4">
        <v>100</v>
      </c>
      <c r="N389" s="19" t="s">
        <v>117</v>
      </c>
      <c r="O389" s="4"/>
      <c r="P389" s="12">
        <v>0</v>
      </c>
    </row>
    <row r="390" spans="1:16" ht="14.25" x14ac:dyDescent="0.15">
      <c r="A390" s="8">
        <v>5039</v>
      </c>
      <c r="B390" s="29" t="s">
        <v>649</v>
      </c>
      <c r="C390" s="29" t="s">
        <v>649</v>
      </c>
      <c r="D390" s="1">
        <v>5050</v>
      </c>
      <c r="E390" s="1">
        <v>6</v>
      </c>
      <c r="F390" s="1">
        <v>16</v>
      </c>
      <c r="G390" s="13">
        <v>0</v>
      </c>
      <c r="I390" s="13">
        <v>1</v>
      </c>
      <c r="K390" s="10">
        <v>0</v>
      </c>
      <c r="L390" s="4">
        <v>210</v>
      </c>
      <c r="M390" s="4">
        <v>100</v>
      </c>
      <c r="N390" s="19" t="s">
        <v>117</v>
      </c>
      <c r="O390" s="4"/>
      <c r="P390" s="12">
        <v>0</v>
      </c>
    </row>
    <row r="391" spans="1:16" ht="14.25" x14ac:dyDescent="0.15">
      <c r="A391" s="8">
        <v>5040</v>
      </c>
      <c r="B391" s="29" t="s">
        <v>650</v>
      </c>
      <c r="C391" s="29" t="s">
        <v>650</v>
      </c>
      <c r="D391" s="1">
        <v>5050</v>
      </c>
      <c r="E391" s="1">
        <v>6</v>
      </c>
      <c r="F391" s="1">
        <v>16</v>
      </c>
      <c r="G391" s="13">
        <v>0</v>
      </c>
      <c r="I391" s="13">
        <v>1</v>
      </c>
      <c r="K391" s="10">
        <v>0</v>
      </c>
      <c r="L391" s="4">
        <v>210</v>
      </c>
      <c r="M391" s="4">
        <v>100</v>
      </c>
      <c r="N391" s="19" t="s">
        <v>117</v>
      </c>
      <c r="O391" s="4"/>
      <c r="P391" s="12">
        <v>0</v>
      </c>
    </row>
    <row r="392" spans="1:16" ht="14.25" x14ac:dyDescent="0.15">
      <c r="A392" s="8">
        <v>5041</v>
      </c>
      <c r="B392" s="29" t="s">
        <v>651</v>
      </c>
      <c r="C392" s="29" t="s">
        <v>651</v>
      </c>
      <c r="D392" s="1">
        <v>5050</v>
      </c>
      <c r="E392" s="1">
        <v>6</v>
      </c>
      <c r="F392" s="1">
        <v>16</v>
      </c>
      <c r="G392" s="13">
        <v>0</v>
      </c>
      <c r="I392" s="13">
        <v>1</v>
      </c>
      <c r="K392" s="10">
        <v>0</v>
      </c>
      <c r="L392" s="4">
        <v>210</v>
      </c>
      <c r="M392" s="4">
        <v>100</v>
      </c>
      <c r="N392" s="19" t="s">
        <v>117</v>
      </c>
      <c r="O392" s="4"/>
      <c r="P392" s="12">
        <v>0</v>
      </c>
    </row>
    <row r="393" spans="1:16" ht="14.25" x14ac:dyDescent="0.15">
      <c r="A393" s="8">
        <v>5042</v>
      </c>
      <c r="B393" s="29" t="s">
        <v>652</v>
      </c>
      <c r="C393" s="29" t="s">
        <v>652</v>
      </c>
      <c r="D393" s="1">
        <v>5050</v>
      </c>
      <c r="E393" s="1">
        <v>6</v>
      </c>
      <c r="F393" s="1">
        <v>16</v>
      </c>
      <c r="G393" s="13">
        <v>0</v>
      </c>
      <c r="I393" s="13">
        <v>1</v>
      </c>
      <c r="K393" s="10">
        <v>0</v>
      </c>
      <c r="L393" s="4">
        <v>210</v>
      </c>
      <c r="M393" s="4">
        <v>100</v>
      </c>
      <c r="N393" s="19" t="s">
        <v>117</v>
      </c>
      <c r="O393" s="4"/>
      <c r="P393" s="12">
        <v>0</v>
      </c>
    </row>
    <row r="394" spans="1:16" ht="14.25" x14ac:dyDescent="0.15">
      <c r="A394" s="8">
        <v>5043</v>
      </c>
      <c r="B394" s="29" t="s">
        <v>653</v>
      </c>
      <c r="C394" s="29" t="s">
        <v>653</v>
      </c>
      <c r="D394" s="1">
        <v>5050</v>
      </c>
      <c r="E394" s="1">
        <v>6</v>
      </c>
      <c r="F394" s="1">
        <v>16</v>
      </c>
      <c r="G394" s="13">
        <v>0</v>
      </c>
      <c r="I394" s="13">
        <v>1</v>
      </c>
      <c r="K394" s="10">
        <v>0</v>
      </c>
      <c r="L394" s="4">
        <v>210</v>
      </c>
      <c r="M394" s="4">
        <v>100</v>
      </c>
      <c r="N394" s="19" t="s">
        <v>117</v>
      </c>
      <c r="O394" s="4"/>
      <c r="P394" s="12">
        <v>0</v>
      </c>
    </row>
    <row r="395" spans="1:16" ht="14.25" x14ac:dyDescent="0.15">
      <c r="A395" s="8">
        <v>5044</v>
      </c>
      <c r="B395" s="29" t="s">
        <v>654</v>
      </c>
      <c r="C395" s="29" t="s">
        <v>654</v>
      </c>
      <c r="D395" s="1">
        <v>5050</v>
      </c>
      <c r="E395" s="1">
        <v>6</v>
      </c>
      <c r="F395" s="1">
        <v>16</v>
      </c>
      <c r="G395" s="13">
        <v>0</v>
      </c>
      <c r="I395" s="13">
        <v>1</v>
      </c>
      <c r="K395" s="10">
        <v>0</v>
      </c>
      <c r="L395" s="4">
        <v>210</v>
      </c>
      <c r="M395" s="4">
        <v>100</v>
      </c>
      <c r="N395" s="19" t="s">
        <v>117</v>
      </c>
      <c r="O395" s="4"/>
      <c r="P395" s="12">
        <v>0</v>
      </c>
    </row>
    <row r="396" spans="1:16" ht="14.25" x14ac:dyDescent="0.15">
      <c r="A396" s="8">
        <v>5045</v>
      </c>
      <c r="B396" s="29" t="s">
        <v>655</v>
      </c>
      <c r="C396" s="29" t="s">
        <v>655</v>
      </c>
      <c r="D396" s="1">
        <v>5050</v>
      </c>
      <c r="E396" s="1">
        <v>6</v>
      </c>
      <c r="F396" s="1">
        <v>16</v>
      </c>
      <c r="G396" s="13">
        <v>0</v>
      </c>
      <c r="I396" s="13">
        <v>1</v>
      </c>
      <c r="K396" s="10">
        <v>0</v>
      </c>
      <c r="L396" s="4">
        <v>210</v>
      </c>
      <c r="M396" s="4">
        <v>100</v>
      </c>
      <c r="N396" s="19" t="s">
        <v>117</v>
      </c>
      <c r="O396" s="4"/>
      <c r="P396" s="12">
        <v>0</v>
      </c>
    </row>
    <row r="397" spans="1:16" ht="14.25" x14ac:dyDescent="0.15">
      <c r="A397" s="8">
        <v>5046</v>
      </c>
      <c r="B397" s="29" t="s">
        <v>656</v>
      </c>
      <c r="C397" s="29" t="s">
        <v>656</v>
      </c>
      <c r="D397" s="1">
        <v>5050</v>
      </c>
      <c r="E397" s="1">
        <v>6</v>
      </c>
      <c r="F397" s="1">
        <v>16</v>
      </c>
      <c r="G397" s="13">
        <v>0</v>
      </c>
      <c r="I397" s="13">
        <v>1</v>
      </c>
      <c r="K397" s="10">
        <v>0</v>
      </c>
      <c r="L397" s="4">
        <v>210</v>
      </c>
      <c r="M397" s="4">
        <v>100</v>
      </c>
      <c r="N397" s="19" t="s">
        <v>117</v>
      </c>
      <c r="O397" s="4"/>
      <c r="P397" s="12">
        <v>0</v>
      </c>
    </row>
    <row r="398" spans="1:16" ht="14.25" x14ac:dyDescent="0.15">
      <c r="A398" s="8">
        <v>5047</v>
      </c>
      <c r="B398" s="29" t="s">
        <v>657</v>
      </c>
      <c r="C398" s="29" t="s">
        <v>657</v>
      </c>
      <c r="D398" s="1">
        <v>5050</v>
      </c>
      <c r="E398" s="1">
        <v>6</v>
      </c>
      <c r="F398" s="1">
        <v>16</v>
      </c>
      <c r="G398" s="13">
        <v>0</v>
      </c>
      <c r="I398" s="13">
        <v>1</v>
      </c>
      <c r="K398" s="10">
        <v>0</v>
      </c>
      <c r="L398" s="4">
        <v>210</v>
      </c>
      <c r="M398" s="4">
        <v>100</v>
      </c>
      <c r="N398" s="19" t="s">
        <v>117</v>
      </c>
      <c r="O398" s="4"/>
      <c r="P398" s="12">
        <v>0</v>
      </c>
    </row>
    <row r="399" spans="1:16" ht="14.25" x14ac:dyDescent="0.15">
      <c r="A399" s="8">
        <v>5048</v>
      </c>
      <c r="B399" s="29" t="s">
        <v>658</v>
      </c>
      <c r="C399" s="29" t="s">
        <v>658</v>
      </c>
      <c r="D399" s="1">
        <v>5050</v>
      </c>
      <c r="E399" s="1">
        <v>6</v>
      </c>
      <c r="F399" s="1">
        <v>16</v>
      </c>
      <c r="G399" s="13">
        <v>0</v>
      </c>
      <c r="I399" s="13">
        <v>1</v>
      </c>
      <c r="K399" s="10">
        <v>0</v>
      </c>
      <c r="L399" s="4">
        <v>210</v>
      </c>
      <c r="M399" s="4">
        <v>100</v>
      </c>
      <c r="N399" s="19" t="s">
        <v>117</v>
      </c>
      <c r="O399" s="4"/>
      <c r="P399" s="12">
        <v>0</v>
      </c>
    </row>
    <row r="400" spans="1:16" ht="14.25" x14ac:dyDescent="0.15">
      <c r="A400" s="8">
        <v>5049</v>
      </c>
      <c r="B400" s="29" t="s">
        <v>659</v>
      </c>
      <c r="C400" s="29" t="s">
        <v>659</v>
      </c>
      <c r="D400" s="1">
        <v>5050</v>
      </c>
      <c r="E400" s="1">
        <v>6</v>
      </c>
      <c r="F400" s="1">
        <v>16</v>
      </c>
      <c r="G400" s="13">
        <v>0</v>
      </c>
      <c r="I400" s="13">
        <v>1</v>
      </c>
      <c r="K400" s="10">
        <v>0</v>
      </c>
      <c r="L400" s="4">
        <v>210</v>
      </c>
      <c r="M400" s="4">
        <v>100</v>
      </c>
      <c r="N400" s="19" t="s">
        <v>117</v>
      </c>
      <c r="O400" s="4"/>
      <c r="P400" s="12">
        <v>0</v>
      </c>
    </row>
    <row r="401" spans="1:16" ht="14.25" x14ac:dyDescent="0.15">
      <c r="A401" s="8">
        <v>5050</v>
      </c>
      <c r="B401" s="29" t="s">
        <v>660</v>
      </c>
      <c r="C401" s="29" t="s">
        <v>660</v>
      </c>
      <c r="D401" s="1">
        <v>5050</v>
      </c>
      <c r="E401" s="1">
        <v>6</v>
      </c>
      <c r="F401" s="1">
        <v>16</v>
      </c>
      <c r="G401" s="13">
        <v>0</v>
      </c>
      <c r="I401" s="13">
        <v>1</v>
      </c>
      <c r="K401" s="10">
        <v>0</v>
      </c>
      <c r="L401" s="4">
        <v>210</v>
      </c>
      <c r="M401" s="4">
        <v>100</v>
      </c>
      <c r="N401" s="19" t="s">
        <v>117</v>
      </c>
      <c r="O401" s="4"/>
      <c r="P401" s="12">
        <v>0</v>
      </c>
    </row>
    <row r="402" spans="1:16" ht="14.25" x14ac:dyDescent="0.15">
      <c r="A402" s="8">
        <v>5051</v>
      </c>
      <c r="B402" s="29" t="s">
        <v>661</v>
      </c>
      <c r="C402" s="29" t="s">
        <v>661</v>
      </c>
      <c r="D402" s="1">
        <v>5050</v>
      </c>
      <c r="E402" s="1">
        <v>6</v>
      </c>
      <c r="F402" s="1">
        <v>16</v>
      </c>
      <c r="G402" s="13">
        <v>0</v>
      </c>
      <c r="I402" s="13">
        <v>1</v>
      </c>
      <c r="K402" s="10">
        <v>0</v>
      </c>
      <c r="L402" s="4">
        <v>210</v>
      </c>
      <c r="M402" s="4">
        <v>100</v>
      </c>
      <c r="N402" s="19" t="s">
        <v>117</v>
      </c>
      <c r="O402" s="4"/>
      <c r="P402" s="12">
        <v>0</v>
      </c>
    </row>
    <row r="403" spans="1:16" ht="14.25" x14ac:dyDescent="0.15">
      <c r="A403" s="8">
        <v>5052</v>
      </c>
      <c r="B403" s="29" t="s">
        <v>662</v>
      </c>
      <c r="C403" s="29" t="s">
        <v>662</v>
      </c>
      <c r="D403" s="1">
        <v>5050</v>
      </c>
      <c r="E403" s="1">
        <v>6</v>
      </c>
      <c r="F403" s="1">
        <v>16</v>
      </c>
      <c r="G403" s="13">
        <v>0</v>
      </c>
      <c r="I403" s="13">
        <v>1</v>
      </c>
      <c r="K403" s="10">
        <v>0</v>
      </c>
      <c r="L403" s="4">
        <v>210</v>
      </c>
      <c r="M403" s="4">
        <v>100</v>
      </c>
      <c r="N403" s="19" t="s">
        <v>117</v>
      </c>
      <c r="O403" s="4"/>
      <c r="P403" s="12">
        <v>0</v>
      </c>
    </row>
    <row r="404" spans="1:16" ht="14.25" x14ac:dyDescent="0.15">
      <c r="A404" s="8">
        <v>5053</v>
      </c>
      <c r="B404" s="29" t="s">
        <v>663</v>
      </c>
      <c r="C404" s="29" t="s">
        <v>663</v>
      </c>
      <c r="D404" s="1">
        <v>5050</v>
      </c>
      <c r="E404" s="1">
        <v>6</v>
      </c>
      <c r="F404" s="1">
        <v>16</v>
      </c>
      <c r="G404" s="13">
        <v>0</v>
      </c>
      <c r="I404" s="13">
        <v>1</v>
      </c>
      <c r="K404" s="10">
        <v>0</v>
      </c>
      <c r="L404" s="4">
        <v>210</v>
      </c>
      <c r="M404" s="4">
        <v>100</v>
      </c>
      <c r="N404" s="19" t="s">
        <v>117</v>
      </c>
      <c r="O404" s="4"/>
      <c r="P404" s="12">
        <v>0</v>
      </c>
    </row>
    <row r="405" spans="1:16" ht="14.25" x14ac:dyDescent="0.15">
      <c r="A405" s="8">
        <v>5054</v>
      </c>
      <c r="B405" s="29" t="s">
        <v>664</v>
      </c>
      <c r="C405" s="29" t="s">
        <v>664</v>
      </c>
      <c r="D405" s="1">
        <v>5050</v>
      </c>
      <c r="E405" s="1">
        <v>6</v>
      </c>
      <c r="F405" s="1">
        <v>16</v>
      </c>
      <c r="G405" s="13">
        <v>0</v>
      </c>
      <c r="I405" s="13">
        <v>1</v>
      </c>
      <c r="K405" s="10">
        <v>0</v>
      </c>
      <c r="L405" s="4">
        <v>210</v>
      </c>
      <c r="M405" s="4">
        <v>100</v>
      </c>
      <c r="N405" s="19" t="s">
        <v>117</v>
      </c>
      <c r="O405" s="4"/>
      <c r="P405" s="12">
        <v>0</v>
      </c>
    </row>
    <row r="406" spans="1:16" ht="14.25" x14ac:dyDescent="0.15">
      <c r="A406" s="8">
        <v>5055</v>
      </c>
      <c r="B406" s="29" t="s">
        <v>665</v>
      </c>
      <c r="C406" s="29" t="s">
        <v>665</v>
      </c>
      <c r="D406" s="1">
        <v>5050</v>
      </c>
      <c r="E406" s="1">
        <v>6</v>
      </c>
      <c r="F406" s="1">
        <v>16</v>
      </c>
      <c r="G406" s="13">
        <v>0</v>
      </c>
      <c r="I406" s="13">
        <v>1</v>
      </c>
      <c r="K406" s="10">
        <v>0</v>
      </c>
      <c r="L406" s="4">
        <v>210</v>
      </c>
      <c r="M406" s="4">
        <v>100</v>
      </c>
      <c r="N406" s="19" t="s">
        <v>117</v>
      </c>
      <c r="O406" s="4"/>
      <c r="P406" s="12">
        <v>0</v>
      </c>
    </row>
    <row r="407" spans="1:16" ht="14.25" x14ac:dyDescent="0.15">
      <c r="A407" s="8">
        <v>5056</v>
      </c>
      <c r="B407" s="29" t="s">
        <v>666</v>
      </c>
      <c r="C407" s="29" t="s">
        <v>666</v>
      </c>
      <c r="D407" s="1">
        <v>5050</v>
      </c>
      <c r="E407" s="1">
        <v>6</v>
      </c>
      <c r="F407" s="1">
        <v>16</v>
      </c>
      <c r="G407" s="13">
        <v>0</v>
      </c>
      <c r="I407" s="13">
        <v>1</v>
      </c>
      <c r="K407" s="10">
        <v>0</v>
      </c>
      <c r="L407" s="4">
        <v>210</v>
      </c>
      <c r="M407" s="4">
        <v>100</v>
      </c>
      <c r="N407" s="19" t="s">
        <v>117</v>
      </c>
      <c r="O407" s="4"/>
      <c r="P407" s="12">
        <v>0</v>
      </c>
    </row>
    <row r="408" spans="1:16" ht="14.25" x14ac:dyDescent="0.15">
      <c r="A408" s="8">
        <v>5057</v>
      </c>
      <c r="B408" s="29" t="s">
        <v>667</v>
      </c>
      <c r="C408" s="29" t="s">
        <v>667</v>
      </c>
      <c r="D408" s="1">
        <v>5050</v>
      </c>
      <c r="E408" s="1">
        <v>6</v>
      </c>
      <c r="F408" s="1">
        <v>16</v>
      </c>
      <c r="G408" s="13">
        <v>0</v>
      </c>
      <c r="I408" s="13">
        <v>1</v>
      </c>
      <c r="K408" s="10">
        <v>0</v>
      </c>
      <c r="L408" s="4">
        <v>210</v>
      </c>
      <c r="M408" s="4">
        <v>100</v>
      </c>
      <c r="N408" s="19" t="s">
        <v>117</v>
      </c>
      <c r="O408" s="4"/>
      <c r="P408" s="12">
        <v>0</v>
      </c>
    </row>
    <row r="409" spans="1:16" ht="14.25" x14ac:dyDescent="0.15">
      <c r="A409" s="8">
        <v>5058</v>
      </c>
      <c r="B409" s="29" t="s">
        <v>668</v>
      </c>
      <c r="C409" s="29" t="s">
        <v>668</v>
      </c>
      <c r="D409" s="1">
        <v>5050</v>
      </c>
      <c r="E409" s="1">
        <v>6</v>
      </c>
      <c r="F409" s="1">
        <v>16</v>
      </c>
      <c r="G409" s="13">
        <v>0</v>
      </c>
      <c r="I409" s="13">
        <v>1</v>
      </c>
      <c r="K409" s="10">
        <v>0</v>
      </c>
      <c r="L409" s="4">
        <v>210</v>
      </c>
      <c r="M409" s="4">
        <v>100</v>
      </c>
      <c r="N409" s="19" t="s">
        <v>117</v>
      </c>
      <c r="O409" s="4"/>
      <c r="P409" s="12">
        <v>0</v>
      </c>
    </row>
    <row r="410" spans="1:16" ht="14.25" x14ac:dyDescent="0.15">
      <c r="A410" s="8">
        <v>5059</v>
      </c>
      <c r="B410" s="29" t="s">
        <v>669</v>
      </c>
      <c r="C410" s="29" t="s">
        <v>669</v>
      </c>
      <c r="D410" s="1">
        <v>5050</v>
      </c>
      <c r="E410" s="1">
        <v>6</v>
      </c>
      <c r="F410" s="1">
        <v>16</v>
      </c>
      <c r="G410" s="13">
        <v>0</v>
      </c>
      <c r="I410" s="13">
        <v>1</v>
      </c>
      <c r="K410" s="10">
        <v>0</v>
      </c>
      <c r="L410" s="4">
        <v>210</v>
      </c>
      <c r="M410" s="4">
        <v>100</v>
      </c>
      <c r="N410" s="19" t="s">
        <v>117</v>
      </c>
      <c r="O410" s="4"/>
      <c r="P410" s="12">
        <v>0</v>
      </c>
    </row>
    <row r="411" spans="1:16" ht="14.25" x14ac:dyDescent="0.15">
      <c r="A411" s="8">
        <v>5060</v>
      </c>
      <c r="B411" s="29" t="s">
        <v>670</v>
      </c>
      <c r="C411" s="29" t="s">
        <v>670</v>
      </c>
      <c r="D411" s="1">
        <v>5050</v>
      </c>
      <c r="E411" s="1">
        <v>6</v>
      </c>
      <c r="F411" s="1">
        <v>16</v>
      </c>
      <c r="G411" s="13">
        <v>0</v>
      </c>
      <c r="I411" s="13">
        <v>1</v>
      </c>
      <c r="K411" s="10">
        <v>0</v>
      </c>
      <c r="L411" s="4">
        <v>210</v>
      </c>
      <c r="M411" s="4">
        <v>100</v>
      </c>
      <c r="N411" s="19" t="s">
        <v>117</v>
      </c>
      <c r="O411" s="4"/>
      <c r="P411" s="12">
        <v>0</v>
      </c>
    </row>
    <row r="412" spans="1:16" ht="14.25" x14ac:dyDescent="0.15">
      <c r="A412" s="8">
        <v>5061</v>
      </c>
      <c r="B412" s="29" t="s">
        <v>671</v>
      </c>
      <c r="C412" s="29" t="s">
        <v>671</v>
      </c>
      <c r="D412" s="1">
        <v>5050</v>
      </c>
      <c r="E412" s="1">
        <v>6</v>
      </c>
      <c r="F412" s="1">
        <v>16</v>
      </c>
      <c r="G412" s="13">
        <v>0</v>
      </c>
      <c r="I412" s="13">
        <v>1</v>
      </c>
      <c r="K412" s="10">
        <v>0</v>
      </c>
      <c r="L412" s="4">
        <v>210</v>
      </c>
      <c r="M412" s="4">
        <v>100</v>
      </c>
      <c r="N412" s="19" t="s">
        <v>117</v>
      </c>
      <c r="O412" s="4"/>
      <c r="P412" s="12">
        <v>0</v>
      </c>
    </row>
    <row r="413" spans="1:16" ht="14.25" x14ac:dyDescent="0.15">
      <c r="A413" s="8">
        <v>5062</v>
      </c>
      <c r="B413" s="29" t="s">
        <v>672</v>
      </c>
      <c r="C413" s="29" t="s">
        <v>672</v>
      </c>
      <c r="D413" s="1">
        <v>5050</v>
      </c>
      <c r="E413" s="1">
        <v>6</v>
      </c>
      <c r="F413" s="1">
        <v>16</v>
      </c>
      <c r="G413" s="13">
        <v>0</v>
      </c>
      <c r="I413" s="13">
        <v>1</v>
      </c>
      <c r="K413" s="10">
        <v>0</v>
      </c>
      <c r="L413" s="4">
        <v>210</v>
      </c>
      <c r="M413" s="4">
        <v>100</v>
      </c>
      <c r="N413" s="19" t="s">
        <v>117</v>
      </c>
      <c r="O413" s="4"/>
      <c r="P413" s="12">
        <v>0</v>
      </c>
    </row>
    <row r="414" spans="1:16" ht="14.25" x14ac:dyDescent="0.15">
      <c r="A414" s="8">
        <v>5063</v>
      </c>
      <c r="B414" s="29" t="s">
        <v>673</v>
      </c>
      <c r="C414" s="29" t="s">
        <v>673</v>
      </c>
      <c r="D414" s="1">
        <v>5050</v>
      </c>
      <c r="E414" s="1">
        <v>6</v>
      </c>
      <c r="F414" s="1">
        <v>16</v>
      </c>
      <c r="G414" s="13">
        <v>0</v>
      </c>
      <c r="I414" s="13">
        <v>1</v>
      </c>
      <c r="K414" s="10">
        <v>0</v>
      </c>
      <c r="L414" s="4">
        <v>210</v>
      </c>
      <c r="M414" s="4">
        <v>100</v>
      </c>
      <c r="N414" s="19" t="s">
        <v>117</v>
      </c>
      <c r="O414" s="4"/>
      <c r="P414" s="12">
        <v>0</v>
      </c>
    </row>
    <row r="415" spans="1:16" ht="14.25" x14ac:dyDescent="0.15">
      <c r="A415" s="8">
        <v>5064</v>
      </c>
      <c r="B415" s="29" t="s">
        <v>674</v>
      </c>
      <c r="C415" s="29" t="s">
        <v>674</v>
      </c>
      <c r="D415" s="1">
        <v>5050</v>
      </c>
      <c r="E415" s="1">
        <v>6</v>
      </c>
      <c r="F415" s="1">
        <v>16</v>
      </c>
      <c r="G415" s="13">
        <v>0</v>
      </c>
      <c r="I415" s="13">
        <v>1</v>
      </c>
      <c r="K415" s="10">
        <v>0</v>
      </c>
      <c r="L415" s="4">
        <v>210</v>
      </c>
      <c r="M415" s="4">
        <v>100</v>
      </c>
      <c r="N415" s="19" t="s">
        <v>117</v>
      </c>
      <c r="O415" s="4"/>
      <c r="P415" s="12">
        <v>0</v>
      </c>
    </row>
    <row r="416" spans="1:16" ht="14.25" x14ac:dyDescent="0.15">
      <c r="A416" s="8">
        <v>5065</v>
      </c>
      <c r="B416" s="29" t="s">
        <v>675</v>
      </c>
      <c r="C416" s="29" t="s">
        <v>675</v>
      </c>
      <c r="D416" s="1">
        <v>5050</v>
      </c>
      <c r="E416" s="1">
        <v>6</v>
      </c>
      <c r="F416" s="1">
        <v>16</v>
      </c>
      <c r="G416" s="13">
        <v>0</v>
      </c>
      <c r="I416" s="13">
        <v>1</v>
      </c>
      <c r="K416" s="10">
        <v>0</v>
      </c>
      <c r="L416" s="4">
        <v>210</v>
      </c>
      <c r="M416" s="4">
        <v>100</v>
      </c>
      <c r="N416" s="19" t="s">
        <v>117</v>
      </c>
      <c r="O416" s="4"/>
      <c r="P416" s="12">
        <v>0</v>
      </c>
    </row>
    <row r="417" spans="1:16" ht="14.25" x14ac:dyDescent="0.15">
      <c r="A417" s="8">
        <v>5066</v>
      </c>
      <c r="B417" s="29" t="s">
        <v>676</v>
      </c>
      <c r="C417" s="29" t="s">
        <v>676</v>
      </c>
      <c r="D417" s="1">
        <v>5050</v>
      </c>
      <c r="E417" s="1">
        <v>6</v>
      </c>
      <c r="F417" s="1">
        <v>16</v>
      </c>
      <c r="G417" s="13">
        <v>0</v>
      </c>
      <c r="I417" s="13">
        <v>1</v>
      </c>
      <c r="K417" s="10">
        <v>0</v>
      </c>
      <c r="L417" s="4">
        <v>210</v>
      </c>
      <c r="M417" s="4">
        <v>100</v>
      </c>
      <c r="N417" s="19" t="s">
        <v>117</v>
      </c>
      <c r="O417" s="4"/>
      <c r="P417" s="12">
        <v>0</v>
      </c>
    </row>
    <row r="418" spans="1:16" ht="14.25" x14ac:dyDescent="0.15">
      <c r="A418" s="8">
        <v>5067</v>
      </c>
      <c r="B418" s="29" t="s">
        <v>677</v>
      </c>
      <c r="C418" s="29" t="s">
        <v>677</v>
      </c>
      <c r="D418" s="1">
        <v>5050</v>
      </c>
      <c r="E418" s="1">
        <v>6</v>
      </c>
      <c r="F418" s="1">
        <v>16</v>
      </c>
      <c r="G418" s="13">
        <v>0</v>
      </c>
      <c r="I418" s="13">
        <v>1</v>
      </c>
      <c r="K418" s="10">
        <v>0</v>
      </c>
      <c r="L418" s="4">
        <v>210</v>
      </c>
      <c r="M418" s="4">
        <v>100</v>
      </c>
      <c r="N418" s="19" t="s">
        <v>117</v>
      </c>
      <c r="O418" s="4"/>
      <c r="P418" s="12">
        <v>0</v>
      </c>
    </row>
    <row r="419" spans="1:16" ht="14.25" x14ac:dyDescent="0.15">
      <c r="A419" s="8">
        <v>5068</v>
      </c>
      <c r="B419" s="29" t="s">
        <v>678</v>
      </c>
      <c r="C419" s="29" t="s">
        <v>678</v>
      </c>
      <c r="D419" s="1">
        <v>5050</v>
      </c>
      <c r="E419" s="1">
        <v>6</v>
      </c>
      <c r="F419" s="1">
        <v>16</v>
      </c>
      <c r="G419" s="13">
        <v>0</v>
      </c>
      <c r="I419" s="13">
        <v>1</v>
      </c>
      <c r="K419" s="10">
        <v>0</v>
      </c>
      <c r="L419" s="4">
        <v>210</v>
      </c>
      <c r="M419" s="4">
        <v>100</v>
      </c>
      <c r="N419" s="19" t="s">
        <v>117</v>
      </c>
      <c r="O419" s="4"/>
      <c r="P419" s="12">
        <v>0</v>
      </c>
    </row>
    <row r="420" spans="1:16" ht="14.25" x14ac:dyDescent="0.15">
      <c r="A420" s="8">
        <v>5069</v>
      </c>
      <c r="B420" s="29" t="s">
        <v>679</v>
      </c>
      <c r="C420" s="29" t="s">
        <v>679</v>
      </c>
      <c r="D420" s="1">
        <v>5050</v>
      </c>
      <c r="E420" s="1">
        <v>6</v>
      </c>
      <c r="F420" s="1">
        <v>16</v>
      </c>
      <c r="G420" s="13">
        <v>0</v>
      </c>
      <c r="I420" s="13">
        <v>1</v>
      </c>
      <c r="K420" s="10">
        <v>0</v>
      </c>
      <c r="L420" s="4">
        <v>210</v>
      </c>
      <c r="M420" s="4">
        <v>100</v>
      </c>
      <c r="N420" s="19" t="s">
        <v>117</v>
      </c>
      <c r="O420" s="4"/>
      <c r="P420" s="12">
        <v>0</v>
      </c>
    </row>
    <row r="421" spans="1:16" ht="14.25" x14ac:dyDescent="0.15">
      <c r="A421" s="8">
        <v>5070</v>
      </c>
      <c r="B421" s="29" t="s">
        <v>680</v>
      </c>
      <c r="C421" s="29" t="s">
        <v>680</v>
      </c>
      <c r="D421" s="1">
        <v>5050</v>
      </c>
      <c r="E421" s="1">
        <v>6</v>
      </c>
      <c r="F421" s="1">
        <v>16</v>
      </c>
      <c r="G421" s="13">
        <v>0</v>
      </c>
      <c r="I421" s="13">
        <v>1</v>
      </c>
      <c r="K421" s="10">
        <v>0</v>
      </c>
      <c r="L421" s="4">
        <v>210</v>
      </c>
      <c r="M421" s="4">
        <v>100</v>
      </c>
      <c r="N421" s="19" t="s">
        <v>117</v>
      </c>
      <c r="O421" s="4"/>
      <c r="P421" s="12">
        <v>0</v>
      </c>
    </row>
    <row r="422" spans="1:16" ht="14.25" x14ac:dyDescent="0.15">
      <c r="A422" s="8">
        <v>5071</v>
      </c>
      <c r="B422" s="29" t="s">
        <v>681</v>
      </c>
      <c r="C422" s="29" t="s">
        <v>681</v>
      </c>
      <c r="D422" s="1">
        <v>5050</v>
      </c>
      <c r="E422" s="1">
        <v>6</v>
      </c>
      <c r="F422" s="1">
        <v>16</v>
      </c>
      <c r="G422" s="13">
        <v>0</v>
      </c>
      <c r="I422" s="13">
        <v>1</v>
      </c>
      <c r="K422" s="10">
        <v>0</v>
      </c>
      <c r="L422" s="4">
        <v>210</v>
      </c>
      <c r="M422" s="4">
        <v>100</v>
      </c>
      <c r="N422" s="19" t="s">
        <v>117</v>
      </c>
      <c r="O422" s="4"/>
      <c r="P422" s="12">
        <v>0</v>
      </c>
    </row>
    <row r="423" spans="1:16" ht="14.25" x14ac:dyDescent="0.15">
      <c r="A423" s="8">
        <v>5072</v>
      </c>
      <c r="B423" s="29" t="s">
        <v>682</v>
      </c>
      <c r="C423" s="29" t="s">
        <v>682</v>
      </c>
      <c r="D423" s="1">
        <v>5050</v>
      </c>
      <c r="E423" s="1">
        <v>6</v>
      </c>
      <c r="F423" s="1">
        <v>16</v>
      </c>
      <c r="G423" s="13">
        <v>0</v>
      </c>
      <c r="I423" s="13">
        <v>1</v>
      </c>
      <c r="K423" s="10">
        <v>0</v>
      </c>
      <c r="L423" s="4">
        <v>210</v>
      </c>
      <c r="M423" s="4">
        <v>100</v>
      </c>
      <c r="N423" s="19" t="s">
        <v>117</v>
      </c>
      <c r="O423" s="4"/>
      <c r="P423" s="12">
        <v>0</v>
      </c>
    </row>
    <row r="424" spans="1:16" ht="14.25" x14ac:dyDescent="0.15">
      <c r="A424" s="8">
        <v>5073</v>
      </c>
      <c r="B424" s="29" t="s">
        <v>683</v>
      </c>
      <c r="C424" s="29" t="s">
        <v>683</v>
      </c>
      <c r="D424" s="1">
        <v>5050</v>
      </c>
      <c r="E424" s="1">
        <v>6</v>
      </c>
      <c r="F424" s="1">
        <v>16</v>
      </c>
      <c r="G424" s="13">
        <v>0</v>
      </c>
      <c r="I424" s="13">
        <v>1</v>
      </c>
      <c r="K424" s="10">
        <v>0</v>
      </c>
      <c r="L424" s="4">
        <v>210</v>
      </c>
      <c r="M424" s="4">
        <v>100</v>
      </c>
      <c r="N424" s="19" t="s">
        <v>117</v>
      </c>
      <c r="O424" s="4"/>
      <c r="P424" s="12">
        <v>0</v>
      </c>
    </row>
    <row r="425" spans="1:16" ht="14.25" x14ac:dyDescent="0.15">
      <c r="A425" s="8">
        <v>5074</v>
      </c>
      <c r="B425" s="29" t="s">
        <v>684</v>
      </c>
      <c r="C425" s="29" t="s">
        <v>684</v>
      </c>
      <c r="D425" s="1">
        <v>5050</v>
      </c>
      <c r="E425" s="1">
        <v>6</v>
      </c>
      <c r="F425" s="1">
        <v>16</v>
      </c>
      <c r="G425" s="13">
        <v>0</v>
      </c>
      <c r="I425" s="13">
        <v>1</v>
      </c>
      <c r="K425" s="10">
        <v>0</v>
      </c>
      <c r="L425" s="4">
        <v>210</v>
      </c>
      <c r="M425" s="4">
        <v>100</v>
      </c>
      <c r="N425" s="19" t="s">
        <v>117</v>
      </c>
      <c r="O425" s="4"/>
      <c r="P425" s="12">
        <v>0</v>
      </c>
    </row>
    <row r="426" spans="1:16" ht="14.25" x14ac:dyDescent="0.15">
      <c r="A426" s="8">
        <v>5075</v>
      </c>
      <c r="B426" s="29" t="s">
        <v>685</v>
      </c>
      <c r="C426" s="29" t="s">
        <v>685</v>
      </c>
      <c r="D426" s="1">
        <v>5050</v>
      </c>
      <c r="E426" s="1">
        <v>6</v>
      </c>
      <c r="F426" s="1">
        <v>16</v>
      </c>
      <c r="G426" s="13">
        <v>0</v>
      </c>
      <c r="I426" s="13">
        <v>1</v>
      </c>
      <c r="K426" s="10">
        <v>0</v>
      </c>
      <c r="L426" s="4">
        <v>210</v>
      </c>
      <c r="M426" s="4">
        <v>100</v>
      </c>
      <c r="N426" s="19" t="s">
        <v>117</v>
      </c>
      <c r="O426" s="4"/>
      <c r="P426" s="12">
        <v>0</v>
      </c>
    </row>
    <row r="427" spans="1:16" ht="14.25" x14ac:dyDescent="0.15">
      <c r="A427" s="8">
        <v>5076</v>
      </c>
      <c r="B427" s="29" t="s">
        <v>686</v>
      </c>
      <c r="C427" s="29" t="s">
        <v>686</v>
      </c>
      <c r="D427" s="1">
        <v>5050</v>
      </c>
      <c r="E427" s="1">
        <v>6</v>
      </c>
      <c r="F427" s="1">
        <v>16</v>
      </c>
      <c r="G427" s="13">
        <v>0</v>
      </c>
      <c r="I427" s="13">
        <v>1</v>
      </c>
      <c r="K427" s="10">
        <v>0</v>
      </c>
      <c r="L427" s="4">
        <v>210</v>
      </c>
      <c r="M427" s="4">
        <v>100</v>
      </c>
      <c r="N427" s="19" t="s">
        <v>117</v>
      </c>
      <c r="O427" s="4"/>
      <c r="P427" s="12">
        <v>0</v>
      </c>
    </row>
    <row r="428" spans="1:16" ht="14.25" x14ac:dyDescent="0.15">
      <c r="A428" s="8">
        <v>5077</v>
      </c>
      <c r="B428" s="29" t="s">
        <v>687</v>
      </c>
      <c r="C428" s="29" t="s">
        <v>687</v>
      </c>
      <c r="D428" s="1">
        <v>5050</v>
      </c>
      <c r="E428" s="1">
        <v>6</v>
      </c>
      <c r="F428" s="1">
        <v>16</v>
      </c>
      <c r="G428" s="13">
        <v>0</v>
      </c>
      <c r="I428" s="13">
        <v>1</v>
      </c>
      <c r="K428" s="10">
        <v>0</v>
      </c>
      <c r="L428" s="4">
        <v>210</v>
      </c>
      <c r="M428" s="4">
        <v>100</v>
      </c>
      <c r="N428" s="19" t="s">
        <v>117</v>
      </c>
      <c r="O428" s="4"/>
      <c r="P428" s="12">
        <v>0</v>
      </c>
    </row>
    <row r="429" spans="1:16" ht="14.25" x14ac:dyDescent="0.15">
      <c r="A429" s="8">
        <v>5078</v>
      </c>
      <c r="B429" s="29" t="s">
        <v>688</v>
      </c>
      <c r="C429" s="29" t="s">
        <v>688</v>
      </c>
      <c r="D429" s="1">
        <v>5050</v>
      </c>
      <c r="E429" s="1">
        <v>6</v>
      </c>
      <c r="F429" s="1">
        <v>16</v>
      </c>
      <c r="G429" s="13">
        <v>0</v>
      </c>
      <c r="I429" s="13">
        <v>1</v>
      </c>
      <c r="K429" s="10">
        <v>0</v>
      </c>
      <c r="L429" s="4">
        <v>210</v>
      </c>
      <c r="M429" s="4">
        <v>100</v>
      </c>
      <c r="N429" s="19" t="s">
        <v>117</v>
      </c>
      <c r="O429" s="4"/>
      <c r="P429" s="12">
        <v>0</v>
      </c>
    </row>
    <row r="430" spans="1:16" ht="14.25" x14ac:dyDescent="0.15">
      <c r="A430" s="8">
        <v>5079</v>
      </c>
      <c r="B430" s="29" t="s">
        <v>689</v>
      </c>
      <c r="C430" s="29" t="s">
        <v>689</v>
      </c>
      <c r="D430" s="1">
        <v>5050</v>
      </c>
      <c r="E430" s="1">
        <v>6</v>
      </c>
      <c r="F430" s="1">
        <v>16</v>
      </c>
      <c r="G430" s="13">
        <v>0</v>
      </c>
      <c r="I430" s="13">
        <v>1</v>
      </c>
      <c r="K430" s="10">
        <v>0</v>
      </c>
      <c r="L430" s="4">
        <v>210</v>
      </c>
      <c r="M430" s="4">
        <v>100</v>
      </c>
      <c r="N430" s="19" t="s">
        <v>117</v>
      </c>
      <c r="O430" s="4"/>
      <c r="P430" s="12">
        <v>0</v>
      </c>
    </row>
    <row r="431" spans="1:16" ht="14.25" x14ac:dyDescent="0.15">
      <c r="A431" s="8">
        <v>5080</v>
      </c>
      <c r="B431" s="29" t="s">
        <v>690</v>
      </c>
      <c r="C431" s="29" t="s">
        <v>690</v>
      </c>
      <c r="D431" s="1">
        <v>5050</v>
      </c>
      <c r="E431" s="1">
        <v>6</v>
      </c>
      <c r="F431" s="1">
        <v>16</v>
      </c>
      <c r="G431" s="13">
        <v>0</v>
      </c>
      <c r="I431" s="13">
        <v>1</v>
      </c>
      <c r="K431" s="10">
        <v>0</v>
      </c>
      <c r="L431" s="4">
        <v>210</v>
      </c>
      <c r="M431" s="4">
        <v>100</v>
      </c>
      <c r="N431" s="19" t="s">
        <v>117</v>
      </c>
      <c r="O431" s="4"/>
      <c r="P431" s="12">
        <v>0</v>
      </c>
    </row>
    <row r="432" spans="1:16" ht="14.25" x14ac:dyDescent="0.15">
      <c r="A432" s="8">
        <v>5081</v>
      </c>
      <c r="B432" s="29" t="s">
        <v>691</v>
      </c>
      <c r="C432" s="29" t="s">
        <v>691</v>
      </c>
      <c r="D432" s="1">
        <v>5050</v>
      </c>
      <c r="E432" s="1">
        <v>6</v>
      </c>
      <c r="F432" s="1">
        <v>16</v>
      </c>
      <c r="G432" s="13">
        <v>0</v>
      </c>
      <c r="I432" s="13">
        <v>1</v>
      </c>
      <c r="K432" s="10">
        <v>0</v>
      </c>
      <c r="L432" s="4">
        <v>210</v>
      </c>
      <c r="M432" s="4">
        <v>100</v>
      </c>
      <c r="N432" s="19" t="s">
        <v>117</v>
      </c>
      <c r="O432" s="4"/>
      <c r="P432" s="12">
        <v>0</v>
      </c>
    </row>
    <row r="433" spans="1:16" ht="14.25" x14ac:dyDescent="0.15">
      <c r="A433" s="8">
        <v>5082</v>
      </c>
      <c r="B433" s="29" t="s">
        <v>692</v>
      </c>
      <c r="C433" s="29" t="s">
        <v>692</v>
      </c>
      <c r="D433" s="1">
        <v>5050</v>
      </c>
      <c r="E433" s="1">
        <v>6</v>
      </c>
      <c r="F433" s="1">
        <v>16</v>
      </c>
      <c r="G433" s="13">
        <v>0</v>
      </c>
      <c r="I433" s="13">
        <v>1</v>
      </c>
      <c r="K433" s="10">
        <v>0</v>
      </c>
      <c r="L433" s="4">
        <v>210</v>
      </c>
      <c r="M433" s="4">
        <v>100</v>
      </c>
      <c r="N433" s="19" t="s">
        <v>117</v>
      </c>
      <c r="O433" s="4"/>
      <c r="P433" s="12">
        <v>0</v>
      </c>
    </row>
    <row r="434" spans="1:16" ht="14.25" x14ac:dyDescent="0.15">
      <c r="A434" s="8">
        <v>5083</v>
      </c>
      <c r="B434" s="29" t="s">
        <v>693</v>
      </c>
      <c r="C434" s="29" t="s">
        <v>693</v>
      </c>
      <c r="D434" s="1">
        <v>5050</v>
      </c>
      <c r="E434" s="1">
        <v>6</v>
      </c>
      <c r="F434" s="1">
        <v>16</v>
      </c>
      <c r="G434" s="13">
        <v>0</v>
      </c>
      <c r="I434" s="13">
        <v>1</v>
      </c>
      <c r="K434" s="10">
        <v>0</v>
      </c>
      <c r="L434" s="4">
        <v>210</v>
      </c>
      <c r="M434" s="4">
        <v>100</v>
      </c>
      <c r="N434" s="19" t="s">
        <v>117</v>
      </c>
      <c r="O434" s="4"/>
      <c r="P434" s="12">
        <v>0</v>
      </c>
    </row>
    <row r="435" spans="1:16" ht="14.25" x14ac:dyDescent="0.15">
      <c r="A435" s="8">
        <v>5084</v>
      </c>
      <c r="B435" s="29" t="s">
        <v>694</v>
      </c>
      <c r="C435" s="29" t="s">
        <v>694</v>
      </c>
      <c r="D435" s="1">
        <v>5050</v>
      </c>
      <c r="E435" s="1">
        <v>6</v>
      </c>
      <c r="F435" s="1">
        <v>16</v>
      </c>
      <c r="G435" s="13">
        <v>0</v>
      </c>
      <c r="I435" s="13">
        <v>1</v>
      </c>
      <c r="K435" s="10">
        <v>0</v>
      </c>
      <c r="L435" s="4">
        <v>210</v>
      </c>
      <c r="M435" s="4">
        <v>100</v>
      </c>
      <c r="N435" s="19" t="s">
        <v>117</v>
      </c>
      <c r="O435" s="4"/>
      <c r="P435" s="12">
        <v>0</v>
      </c>
    </row>
    <row r="436" spans="1:16" ht="14.25" x14ac:dyDescent="0.15">
      <c r="A436" s="8">
        <v>5101</v>
      </c>
      <c r="B436" s="3" t="s">
        <v>700</v>
      </c>
      <c r="C436" s="3" t="s">
        <v>700</v>
      </c>
      <c r="D436" s="1">
        <v>5050</v>
      </c>
      <c r="E436" s="1">
        <v>3</v>
      </c>
      <c r="F436" s="1">
        <v>16</v>
      </c>
      <c r="G436" s="13">
        <v>0</v>
      </c>
      <c r="I436" s="13">
        <v>1</v>
      </c>
      <c r="K436" s="10">
        <v>0</v>
      </c>
      <c r="L436" s="4">
        <v>210</v>
      </c>
      <c r="M436" s="4">
        <v>100</v>
      </c>
      <c r="N436" s="19" t="s">
        <v>117</v>
      </c>
      <c r="O436" s="4"/>
      <c r="P436" s="12">
        <v>0</v>
      </c>
    </row>
    <row r="437" spans="1:16" ht="14.25" x14ac:dyDescent="0.15">
      <c r="A437" s="8">
        <v>5102</v>
      </c>
      <c r="B437" s="3" t="s">
        <v>701</v>
      </c>
      <c r="C437" s="3" t="s">
        <v>701</v>
      </c>
      <c r="D437" s="1">
        <v>5050</v>
      </c>
      <c r="E437" s="1">
        <v>3</v>
      </c>
      <c r="F437" s="1">
        <v>16</v>
      </c>
      <c r="G437" s="13">
        <v>0</v>
      </c>
      <c r="I437" s="13">
        <v>1</v>
      </c>
      <c r="K437" s="10">
        <v>0</v>
      </c>
      <c r="L437" s="4">
        <v>210</v>
      </c>
      <c r="M437" s="4">
        <v>100</v>
      </c>
      <c r="N437" s="19" t="s">
        <v>117</v>
      </c>
      <c r="O437" s="4"/>
      <c r="P437" s="12">
        <v>0</v>
      </c>
    </row>
    <row r="438" spans="1:16" ht="14.25" x14ac:dyDescent="0.15">
      <c r="A438" s="8">
        <v>5103</v>
      </c>
      <c r="B438" s="3" t="s">
        <v>702</v>
      </c>
      <c r="C438" s="3" t="s">
        <v>702</v>
      </c>
      <c r="D438" s="1">
        <v>5050</v>
      </c>
      <c r="E438" s="1">
        <v>3</v>
      </c>
      <c r="F438" s="1">
        <v>16</v>
      </c>
      <c r="G438" s="13">
        <v>0</v>
      </c>
      <c r="I438" s="13">
        <v>1</v>
      </c>
      <c r="K438" s="10">
        <v>0</v>
      </c>
      <c r="L438" s="4">
        <v>210</v>
      </c>
      <c r="M438" s="4">
        <v>100</v>
      </c>
      <c r="N438" s="19" t="s">
        <v>117</v>
      </c>
      <c r="O438" s="4"/>
      <c r="P438" s="12">
        <v>0</v>
      </c>
    </row>
    <row r="439" spans="1:16" ht="14.25" x14ac:dyDescent="0.15">
      <c r="A439" s="8">
        <v>5104</v>
      </c>
      <c r="B439" s="3" t="s">
        <v>703</v>
      </c>
      <c r="C439" s="3" t="s">
        <v>703</v>
      </c>
      <c r="D439" s="1">
        <v>5050</v>
      </c>
      <c r="E439" s="1">
        <v>4</v>
      </c>
      <c r="F439" s="1">
        <v>16</v>
      </c>
      <c r="G439" s="13">
        <v>0</v>
      </c>
      <c r="I439" s="13">
        <v>1</v>
      </c>
      <c r="K439" s="10">
        <v>0</v>
      </c>
      <c r="L439" s="4">
        <v>210</v>
      </c>
      <c r="M439" s="4">
        <v>100</v>
      </c>
      <c r="N439" s="19" t="s">
        <v>117</v>
      </c>
      <c r="O439" s="4"/>
      <c r="P439" s="12">
        <v>0</v>
      </c>
    </row>
    <row r="440" spans="1:16" ht="14.25" x14ac:dyDescent="0.15">
      <c r="A440" s="8">
        <v>5105</v>
      </c>
      <c r="B440" s="3" t="s">
        <v>704</v>
      </c>
      <c r="C440" s="3" t="s">
        <v>704</v>
      </c>
      <c r="D440" s="1">
        <v>5050</v>
      </c>
      <c r="E440" s="1">
        <v>4</v>
      </c>
      <c r="F440" s="1">
        <v>16</v>
      </c>
      <c r="G440" s="13">
        <v>0</v>
      </c>
      <c r="I440" s="13">
        <v>1</v>
      </c>
      <c r="K440" s="10">
        <v>0</v>
      </c>
      <c r="L440" s="4">
        <v>210</v>
      </c>
      <c r="M440" s="4">
        <v>100</v>
      </c>
      <c r="N440" s="19" t="s">
        <v>117</v>
      </c>
      <c r="O440" s="4"/>
      <c r="P440" s="12">
        <v>0</v>
      </c>
    </row>
    <row r="441" spans="1:16" ht="14.25" x14ac:dyDescent="0.15">
      <c r="A441" s="8">
        <v>5106</v>
      </c>
      <c r="B441" s="3" t="s">
        <v>705</v>
      </c>
      <c r="C441" s="3" t="s">
        <v>705</v>
      </c>
      <c r="D441" s="1">
        <v>5050</v>
      </c>
      <c r="E441" s="1">
        <v>4</v>
      </c>
      <c r="F441" s="1">
        <v>16</v>
      </c>
      <c r="G441" s="13">
        <v>0</v>
      </c>
      <c r="I441" s="13">
        <v>1</v>
      </c>
      <c r="K441" s="10">
        <v>0</v>
      </c>
      <c r="L441" s="4">
        <v>210</v>
      </c>
      <c r="M441" s="4">
        <v>100</v>
      </c>
      <c r="N441" s="19" t="s">
        <v>117</v>
      </c>
      <c r="O441" s="4"/>
      <c r="P441" s="12">
        <v>0</v>
      </c>
    </row>
    <row r="442" spans="1:16" ht="14.25" x14ac:dyDescent="0.15">
      <c r="A442" s="8">
        <v>5107</v>
      </c>
      <c r="B442" s="3" t="s">
        <v>706</v>
      </c>
      <c r="C442" s="3" t="s">
        <v>706</v>
      </c>
      <c r="D442" s="1">
        <v>5050</v>
      </c>
      <c r="E442" s="1">
        <v>4</v>
      </c>
      <c r="F442" s="1">
        <v>16</v>
      </c>
      <c r="G442" s="13">
        <v>0</v>
      </c>
      <c r="I442" s="13">
        <v>1</v>
      </c>
      <c r="K442" s="10">
        <v>0</v>
      </c>
      <c r="L442" s="4">
        <v>210</v>
      </c>
      <c r="M442" s="4">
        <v>100</v>
      </c>
      <c r="N442" s="19" t="s">
        <v>117</v>
      </c>
      <c r="O442" s="4"/>
      <c r="P442" s="12">
        <v>0</v>
      </c>
    </row>
    <row r="443" spans="1:16" ht="14.25" x14ac:dyDescent="0.15">
      <c r="A443" s="8">
        <v>5108</v>
      </c>
      <c r="B443" s="3" t="s">
        <v>707</v>
      </c>
      <c r="C443" s="3" t="s">
        <v>707</v>
      </c>
      <c r="D443" s="1">
        <v>5050</v>
      </c>
      <c r="E443" s="1">
        <v>5</v>
      </c>
      <c r="F443" s="1">
        <v>16</v>
      </c>
      <c r="G443" s="13">
        <v>0</v>
      </c>
      <c r="I443" s="13">
        <v>1</v>
      </c>
      <c r="K443" s="10">
        <v>0</v>
      </c>
      <c r="L443" s="4">
        <v>210</v>
      </c>
      <c r="M443" s="4">
        <v>100</v>
      </c>
      <c r="N443" s="19" t="s">
        <v>117</v>
      </c>
      <c r="O443" s="4"/>
      <c r="P443" s="12">
        <v>0</v>
      </c>
    </row>
    <row r="444" spans="1:16" ht="14.25" x14ac:dyDescent="0.15">
      <c r="A444" s="8">
        <v>5109</v>
      </c>
      <c r="B444" s="3" t="s">
        <v>708</v>
      </c>
      <c r="C444" s="3" t="s">
        <v>708</v>
      </c>
      <c r="D444" s="1">
        <v>5050</v>
      </c>
      <c r="E444" s="1">
        <v>5</v>
      </c>
      <c r="F444" s="1">
        <v>16</v>
      </c>
      <c r="G444" s="13">
        <v>0</v>
      </c>
      <c r="I444" s="13">
        <v>1</v>
      </c>
      <c r="K444" s="10">
        <v>0</v>
      </c>
      <c r="L444" s="4">
        <v>210</v>
      </c>
      <c r="M444" s="4">
        <v>100</v>
      </c>
      <c r="N444" s="19" t="s">
        <v>117</v>
      </c>
      <c r="O444" s="4"/>
      <c r="P444" s="12">
        <v>0</v>
      </c>
    </row>
    <row r="445" spans="1:16" ht="14.25" x14ac:dyDescent="0.15">
      <c r="A445" s="8">
        <v>5110</v>
      </c>
      <c r="B445" s="3" t="s">
        <v>709</v>
      </c>
      <c r="C445" s="3" t="s">
        <v>709</v>
      </c>
      <c r="D445" s="1">
        <v>5050</v>
      </c>
      <c r="E445" s="1">
        <v>5</v>
      </c>
      <c r="F445" s="1">
        <v>16</v>
      </c>
      <c r="G445" s="13">
        <v>0</v>
      </c>
      <c r="I445" s="13">
        <v>1</v>
      </c>
      <c r="K445" s="10">
        <v>0</v>
      </c>
      <c r="L445" s="4">
        <v>210</v>
      </c>
      <c r="M445" s="4">
        <v>100</v>
      </c>
      <c r="N445" s="19" t="s">
        <v>117</v>
      </c>
      <c r="O445" s="4"/>
      <c r="P445" s="12">
        <v>0</v>
      </c>
    </row>
    <row r="446" spans="1:16" ht="14.25" x14ac:dyDescent="0.15">
      <c r="A446" s="8">
        <v>5111</v>
      </c>
      <c r="B446" s="3" t="s">
        <v>710</v>
      </c>
      <c r="C446" s="3" t="s">
        <v>710</v>
      </c>
      <c r="D446" s="1">
        <v>5050</v>
      </c>
      <c r="E446" s="1">
        <v>5</v>
      </c>
      <c r="F446" s="1">
        <v>16</v>
      </c>
      <c r="G446" s="13">
        <v>0</v>
      </c>
      <c r="I446" s="13">
        <v>1</v>
      </c>
      <c r="K446" s="10">
        <v>0</v>
      </c>
      <c r="L446" s="4">
        <v>210</v>
      </c>
      <c r="M446" s="4">
        <v>100</v>
      </c>
      <c r="N446" s="19" t="s">
        <v>117</v>
      </c>
      <c r="O446" s="4"/>
      <c r="P446" s="12">
        <v>0</v>
      </c>
    </row>
    <row r="447" spans="1:16" ht="14.25" x14ac:dyDescent="0.15">
      <c r="A447" s="8">
        <v>5112</v>
      </c>
      <c r="B447" s="3" t="s">
        <v>711</v>
      </c>
      <c r="C447" s="3" t="s">
        <v>711</v>
      </c>
      <c r="D447" s="1">
        <v>5050</v>
      </c>
      <c r="E447" s="1">
        <v>5</v>
      </c>
      <c r="F447" s="1">
        <v>16</v>
      </c>
      <c r="G447" s="13">
        <v>0</v>
      </c>
      <c r="I447" s="13">
        <v>1</v>
      </c>
      <c r="K447" s="10">
        <v>0</v>
      </c>
      <c r="L447" s="4">
        <v>210</v>
      </c>
      <c r="M447" s="4">
        <v>100</v>
      </c>
      <c r="N447" s="19" t="s">
        <v>117</v>
      </c>
      <c r="O447" s="4"/>
      <c r="P447" s="12">
        <v>0</v>
      </c>
    </row>
    <row r="448" spans="1:16" ht="14.25" x14ac:dyDescent="0.15">
      <c r="B448" s="29"/>
      <c r="C448" s="29"/>
      <c r="G448" s="13"/>
      <c r="I448" s="13"/>
    </row>
    <row r="449" spans="2:9" ht="14.25" x14ac:dyDescent="0.15">
      <c r="B449" s="29"/>
      <c r="C449" s="29"/>
      <c r="G449" s="13"/>
      <c r="I449" s="13"/>
    </row>
    <row r="450" spans="2:9" ht="14.25" x14ac:dyDescent="0.15">
      <c r="B450" s="29"/>
      <c r="C450" s="29"/>
      <c r="G450" s="13"/>
      <c r="I450" s="13"/>
    </row>
    <row r="451" spans="2:9" ht="14.25" x14ac:dyDescent="0.15">
      <c r="B451" s="29"/>
      <c r="C451" s="29"/>
      <c r="G451" s="13"/>
      <c r="I451" s="13"/>
    </row>
    <row r="452" spans="2:9" ht="14.25" x14ac:dyDescent="0.15">
      <c r="B452" s="29"/>
      <c r="C452" s="29"/>
      <c r="G452" s="13"/>
      <c r="I452" s="13"/>
    </row>
    <row r="453" spans="2:9" ht="14.25" x14ac:dyDescent="0.15">
      <c r="B453" s="29"/>
      <c r="C453" s="29"/>
      <c r="G453" s="13"/>
      <c r="I453" s="13"/>
    </row>
    <row r="454" spans="2:9" ht="14.25" x14ac:dyDescent="0.15">
      <c r="B454" s="29"/>
      <c r="C454" s="29"/>
      <c r="G454" s="13"/>
      <c r="I454" s="13"/>
    </row>
    <row r="455" spans="2:9" ht="14.25" x14ac:dyDescent="0.15">
      <c r="B455" s="29"/>
      <c r="C455" s="29"/>
      <c r="G455" s="13"/>
      <c r="I455" s="13"/>
    </row>
    <row r="456" spans="2:9" ht="14.25" x14ac:dyDescent="0.15">
      <c r="B456" s="29"/>
      <c r="C456" s="29"/>
      <c r="G456" s="13"/>
      <c r="I456" s="13"/>
    </row>
    <row r="457" spans="2:9" ht="14.25" x14ac:dyDescent="0.15">
      <c r="B457" s="29"/>
      <c r="C457" s="29"/>
      <c r="G457" s="13"/>
      <c r="I457" s="13"/>
    </row>
    <row r="458" spans="2:9" ht="14.25" x14ac:dyDescent="0.15">
      <c r="B458" s="29"/>
      <c r="C458" s="29"/>
      <c r="G458" s="13"/>
      <c r="I458" s="13"/>
    </row>
    <row r="459" spans="2:9" ht="14.25" x14ac:dyDescent="0.15">
      <c r="B459" s="29"/>
      <c r="C459" s="29"/>
      <c r="G459" s="13"/>
      <c r="I459" s="13"/>
    </row>
    <row r="460" spans="2:9" ht="14.25" x14ac:dyDescent="0.15">
      <c r="B460" s="29"/>
      <c r="C460" s="29"/>
      <c r="G460" s="13"/>
      <c r="I460" s="13"/>
    </row>
    <row r="461" spans="2:9" ht="14.25" x14ac:dyDescent="0.15">
      <c r="B461" s="29"/>
      <c r="C461" s="29"/>
      <c r="G461" s="13"/>
      <c r="I461" s="13"/>
    </row>
    <row r="462" spans="2:9" ht="14.25" x14ac:dyDescent="0.15">
      <c r="B462" s="29"/>
      <c r="C462" s="29"/>
      <c r="G462" s="13"/>
      <c r="I462" s="13"/>
    </row>
    <row r="463" spans="2:9" ht="14.25" x14ac:dyDescent="0.15">
      <c r="B463" s="29"/>
      <c r="C463" s="29"/>
      <c r="G463" s="13"/>
      <c r="I463" s="13"/>
    </row>
    <row r="464" spans="2:9" ht="14.25" x14ac:dyDescent="0.15">
      <c r="B464" s="29"/>
      <c r="C464" s="29"/>
      <c r="G464" s="13"/>
      <c r="I464" s="13"/>
    </row>
    <row r="465" spans="2:9" ht="14.25" x14ac:dyDescent="0.15">
      <c r="B465" s="29"/>
      <c r="C465" s="29"/>
      <c r="G465" s="13"/>
      <c r="I465" s="13"/>
    </row>
    <row r="466" spans="2:9" ht="14.25" x14ac:dyDescent="0.15">
      <c r="B466" s="29"/>
      <c r="C466" s="29"/>
      <c r="G466" s="13"/>
      <c r="I466" s="13"/>
    </row>
    <row r="467" spans="2:9" ht="14.25" x14ac:dyDescent="0.15">
      <c r="B467" s="29"/>
      <c r="C467" s="29"/>
      <c r="G467" s="13"/>
      <c r="I467" s="13"/>
    </row>
    <row r="468" spans="2:9" ht="14.25" x14ac:dyDescent="0.15">
      <c r="B468" s="29"/>
      <c r="C468" s="29"/>
      <c r="G468" s="13"/>
      <c r="I468" s="13"/>
    </row>
    <row r="469" spans="2:9" ht="14.25" x14ac:dyDescent="0.15">
      <c r="B469" s="29"/>
      <c r="C469" s="29"/>
      <c r="G469" s="13"/>
      <c r="I469" s="13"/>
    </row>
    <row r="470" spans="2:9" ht="14.25" x14ac:dyDescent="0.15">
      <c r="B470" s="29"/>
      <c r="C470" s="29"/>
      <c r="G470" s="13"/>
      <c r="I470" s="13"/>
    </row>
    <row r="471" spans="2:9" ht="14.25" x14ac:dyDescent="0.15">
      <c r="B471" s="29"/>
      <c r="C471" s="29"/>
      <c r="G471" s="13"/>
      <c r="I471" s="13"/>
    </row>
    <row r="472" spans="2:9" ht="14.25" x14ac:dyDescent="0.15">
      <c r="B472" s="29"/>
      <c r="C472" s="29"/>
      <c r="G472" s="13"/>
      <c r="I472" s="13"/>
    </row>
    <row r="473" spans="2:9" ht="14.25" x14ac:dyDescent="0.15">
      <c r="B473" s="29"/>
      <c r="C473" s="29"/>
      <c r="G473" s="13"/>
      <c r="I473" s="13"/>
    </row>
    <row r="474" spans="2:9" ht="14.25" x14ac:dyDescent="0.15">
      <c r="B474" s="29"/>
      <c r="C474" s="29"/>
      <c r="G474" s="13"/>
      <c r="I474" s="13"/>
    </row>
    <row r="475" spans="2:9" ht="14.25" x14ac:dyDescent="0.15">
      <c r="B475" s="29"/>
      <c r="C475" s="29"/>
      <c r="G475" s="13"/>
      <c r="I475" s="13"/>
    </row>
    <row r="476" spans="2:9" ht="14.25" x14ac:dyDescent="0.15">
      <c r="B476" s="29"/>
      <c r="C476" s="29"/>
      <c r="G476" s="13"/>
      <c r="I476" s="13"/>
    </row>
    <row r="477" spans="2:9" ht="14.25" x14ac:dyDescent="0.15">
      <c r="B477" s="29"/>
      <c r="C477" s="29"/>
      <c r="G477" s="13"/>
      <c r="I477" s="13"/>
    </row>
    <row r="478" spans="2:9" ht="14.25" x14ac:dyDescent="0.15">
      <c r="B478" s="29"/>
      <c r="C478" s="29"/>
      <c r="G478" s="13"/>
      <c r="I478" s="13"/>
    </row>
    <row r="479" spans="2:9" ht="14.25" x14ac:dyDescent="0.15">
      <c r="B479" s="29"/>
      <c r="C479" s="29"/>
      <c r="G479" s="13"/>
      <c r="I479" s="13"/>
    </row>
    <row r="480" spans="2:9" ht="14.25" x14ac:dyDescent="0.15">
      <c r="B480" s="29"/>
      <c r="C480" s="29"/>
      <c r="G480" s="13"/>
      <c r="I480" s="13"/>
    </row>
    <row r="481" spans="2:9" ht="14.25" x14ac:dyDescent="0.15">
      <c r="B481" s="29"/>
      <c r="C481" s="29"/>
      <c r="G481" s="13"/>
      <c r="I481" s="13"/>
    </row>
    <row r="482" spans="2:9" ht="14.25" x14ac:dyDescent="0.15">
      <c r="B482" s="29"/>
      <c r="C482" s="29"/>
      <c r="G482" s="13"/>
      <c r="I482" s="13"/>
    </row>
    <row r="483" spans="2:9" ht="14.25" x14ac:dyDescent="0.15">
      <c r="B483" s="29"/>
      <c r="C483" s="29"/>
      <c r="G483" s="13"/>
      <c r="I483" s="13"/>
    </row>
    <row r="484" spans="2:9" ht="14.25" x14ac:dyDescent="0.15">
      <c r="B484" s="29"/>
      <c r="C484" s="29"/>
      <c r="G484" s="13"/>
      <c r="I484" s="13"/>
    </row>
    <row r="485" spans="2:9" ht="14.25" x14ac:dyDescent="0.15">
      <c r="B485" s="29"/>
      <c r="C485" s="29"/>
      <c r="G485" s="13"/>
      <c r="I485" s="13"/>
    </row>
    <row r="486" spans="2:9" ht="14.25" x14ac:dyDescent="0.15">
      <c r="B486" s="29"/>
      <c r="C486" s="29"/>
      <c r="G486" s="13"/>
      <c r="I486" s="13"/>
    </row>
    <row r="487" spans="2:9" ht="14.25" x14ac:dyDescent="0.15">
      <c r="B487" s="29"/>
      <c r="C487" s="29"/>
      <c r="G487" s="13"/>
      <c r="I487" s="13"/>
    </row>
    <row r="488" spans="2:9" ht="14.25" x14ac:dyDescent="0.15">
      <c r="B488" s="29"/>
      <c r="C488" s="29"/>
      <c r="G488" s="13"/>
      <c r="I488" s="13"/>
    </row>
    <row r="489" spans="2:9" ht="14.25" x14ac:dyDescent="0.15">
      <c r="B489" s="29"/>
      <c r="C489" s="29"/>
      <c r="G489" s="13"/>
      <c r="I489" s="13"/>
    </row>
    <row r="490" spans="2:9" ht="14.25" x14ac:dyDescent="0.15">
      <c r="B490" s="29"/>
      <c r="C490" s="29"/>
      <c r="G490" s="13"/>
      <c r="I490" s="13"/>
    </row>
    <row r="491" spans="2:9" ht="14.25" x14ac:dyDescent="0.15">
      <c r="B491" s="29"/>
      <c r="C491" s="29"/>
      <c r="G491" s="13"/>
      <c r="I491" s="13"/>
    </row>
    <row r="492" spans="2:9" ht="14.25" x14ac:dyDescent="0.15">
      <c r="B492" s="29"/>
      <c r="C492" s="29"/>
      <c r="G492" s="13"/>
      <c r="I492" s="13"/>
    </row>
    <row r="493" spans="2:9" ht="14.25" x14ac:dyDescent="0.15">
      <c r="B493" s="29"/>
      <c r="C493" s="29"/>
      <c r="G493" s="13"/>
      <c r="I493" s="13"/>
    </row>
    <row r="494" spans="2:9" ht="14.25" x14ac:dyDescent="0.15">
      <c r="B494" s="29"/>
      <c r="C494" s="29"/>
      <c r="G494" s="13"/>
      <c r="I494" s="13"/>
    </row>
    <row r="495" spans="2:9" ht="14.25" x14ac:dyDescent="0.15">
      <c r="B495" s="29"/>
      <c r="C495" s="29"/>
      <c r="G495" s="13"/>
      <c r="I495" s="13"/>
    </row>
    <row r="496" spans="2:9" ht="14.25" x14ac:dyDescent="0.15">
      <c r="B496" s="29"/>
      <c r="C496" s="29"/>
      <c r="G496" s="13"/>
      <c r="I496" s="13"/>
    </row>
    <row r="497" spans="2:9" ht="14.25" x14ac:dyDescent="0.15">
      <c r="B497" s="29"/>
      <c r="C497" s="29"/>
      <c r="G497" s="13"/>
      <c r="I497" s="13"/>
    </row>
    <row r="498" spans="2:9" ht="14.25" x14ac:dyDescent="0.15">
      <c r="B498" s="29"/>
      <c r="C498" s="29"/>
      <c r="G498" s="13"/>
      <c r="I498" s="13"/>
    </row>
    <row r="499" spans="2:9" ht="14.25" x14ac:dyDescent="0.15">
      <c r="B499" s="29"/>
      <c r="C499" s="29"/>
      <c r="G499" s="13"/>
      <c r="I499" s="13"/>
    </row>
    <row r="500" spans="2:9" ht="14.25" x14ac:dyDescent="0.15">
      <c r="B500" s="29"/>
      <c r="C500" s="29"/>
      <c r="G500" s="13"/>
      <c r="I500" s="13"/>
    </row>
    <row r="501" spans="2:9" ht="14.25" x14ac:dyDescent="0.15">
      <c r="B501" s="29"/>
      <c r="C501" s="29"/>
      <c r="G501" s="13"/>
      <c r="I501" s="13"/>
    </row>
    <row r="502" spans="2:9" ht="14.25" x14ac:dyDescent="0.15">
      <c r="B502" s="29"/>
      <c r="C502" s="29"/>
      <c r="G502" s="13"/>
      <c r="I502" s="13"/>
    </row>
    <row r="503" spans="2:9" ht="14.25" x14ac:dyDescent="0.15">
      <c r="B503" s="29"/>
      <c r="C503" s="29"/>
      <c r="G503" s="13"/>
      <c r="I503" s="13"/>
    </row>
    <row r="504" spans="2:9" ht="14.25" x14ac:dyDescent="0.15">
      <c r="B504" s="29"/>
      <c r="C504" s="29"/>
      <c r="G504" s="13"/>
      <c r="I504" s="13"/>
    </row>
    <row r="505" spans="2:9" ht="14.25" x14ac:dyDescent="0.15">
      <c r="B505" s="29"/>
      <c r="C505" s="29"/>
      <c r="G505" s="13"/>
      <c r="I505" s="13"/>
    </row>
    <row r="506" spans="2:9" ht="14.25" x14ac:dyDescent="0.15">
      <c r="B506" s="29"/>
      <c r="C506" s="29"/>
      <c r="G506" s="13"/>
      <c r="I506" s="13"/>
    </row>
    <row r="507" spans="2:9" ht="14.25" x14ac:dyDescent="0.15">
      <c r="B507" s="29"/>
      <c r="C507" s="29"/>
      <c r="G507" s="13"/>
      <c r="I507" s="13"/>
    </row>
    <row r="508" spans="2:9" ht="14.25" x14ac:dyDescent="0.15">
      <c r="B508" s="29"/>
      <c r="C508" s="29"/>
      <c r="G508" s="13"/>
      <c r="I508" s="13"/>
    </row>
    <row r="509" spans="2:9" ht="14.25" x14ac:dyDescent="0.15">
      <c r="B509" s="29"/>
      <c r="C509" s="29"/>
      <c r="G509" s="13"/>
      <c r="I509" s="13"/>
    </row>
    <row r="510" spans="2:9" ht="14.25" x14ac:dyDescent="0.15">
      <c r="B510" s="29"/>
      <c r="C510" s="29"/>
      <c r="G510" s="13"/>
      <c r="I510" s="13"/>
    </row>
    <row r="511" spans="2:9" ht="14.25" x14ac:dyDescent="0.15">
      <c r="B511" s="29"/>
      <c r="C511" s="29"/>
      <c r="G511" s="13"/>
      <c r="I511" s="13"/>
    </row>
    <row r="512" spans="2:9" ht="14.25" x14ac:dyDescent="0.15">
      <c r="B512" s="29"/>
      <c r="C512" s="29"/>
      <c r="G512" s="13"/>
      <c r="I512" s="13"/>
    </row>
    <row r="513" spans="2:9" ht="14.25" x14ac:dyDescent="0.15">
      <c r="B513" s="29"/>
      <c r="C513" s="29"/>
      <c r="G513" s="13"/>
      <c r="I513" s="13"/>
    </row>
    <row r="514" spans="2:9" ht="14.25" x14ac:dyDescent="0.15">
      <c r="B514" s="29"/>
      <c r="C514" s="29"/>
      <c r="G514" s="13"/>
      <c r="I514" s="13"/>
    </row>
    <row r="515" spans="2:9" ht="14.25" x14ac:dyDescent="0.15">
      <c r="B515" s="29"/>
      <c r="C515" s="29"/>
      <c r="G515" s="13"/>
      <c r="I515" s="13"/>
    </row>
    <row r="516" spans="2:9" ht="14.25" x14ac:dyDescent="0.15">
      <c r="B516" s="29"/>
      <c r="C516" s="29"/>
      <c r="G516" s="13"/>
      <c r="I516" s="13"/>
    </row>
    <row r="517" spans="2:9" ht="14.25" x14ac:dyDescent="0.15">
      <c r="B517" s="29"/>
      <c r="C517" s="29"/>
      <c r="G517" s="13"/>
      <c r="I517" s="13"/>
    </row>
    <row r="518" spans="2:9" ht="14.25" x14ac:dyDescent="0.15">
      <c r="B518" s="29"/>
      <c r="C518" s="29"/>
      <c r="G518" s="13"/>
      <c r="I518" s="13"/>
    </row>
    <row r="519" spans="2:9" ht="14.25" x14ac:dyDescent="0.15">
      <c r="B519" s="29"/>
      <c r="C519" s="29"/>
      <c r="G519" s="13"/>
      <c r="I519" s="13"/>
    </row>
    <row r="520" spans="2:9" ht="14.25" x14ac:dyDescent="0.15">
      <c r="B520" s="29"/>
      <c r="C520" s="29"/>
      <c r="G520" s="13"/>
      <c r="I520" s="13"/>
    </row>
    <row r="521" spans="2:9" ht="14.25" x14ac:dyDescent="0.15">
      <c r="B521" s="29"/>
      <c r="C521" s="29"/>
      <c r="G521" s="13"/>
      <c r="I521" s="13"/>
    </row>
    <row r="522" spans="2:9" ht="14.25" x14ac:dyDescent="0.15">
      <c r="B522" s="29"/>
      <c r="C522" s="29"/>
      <c r="G522" s="13"/>
      <c r="I522" s="13"/>
    </row>
    <row r="523" spans="2:9" ht="14.25" x14ac:dyDescent="0.15">
      <c r="B523" s="29"/>
      <c r="C523" s="29"/>
      <c r="G523" s="13"/>
      <c r="I523" s="13"/>
    </row>
    <row r="524" spans="2:9" ht="14.25" x14ac:dyDescent="0.15">
      <c r="B524" s="29"/>
      <c r="C524" s="29"/>
      <c r="G524" s="13"/>
      <c r="I524" s="13"/>
    </row>
    <row r="525" spans="2:9" ht="14.25" x14ac:dyDescent="0.15">
      <c r="B525" s="29"/>
      <c r="C525" s="29"/>
      <c r="G525" s="13"/>
      <c r="I525" s="13"/>
    </row>
    <row r="526" spans="2:9" ht="14.25" x14ac:dyDescent="0.15">
      <c r="B526" s="29"/>
      <c r="C526" s="29"/>
      <c r="G526" s="13"/>
      <c r="I526" s="13"/>
    </row>
    <row r="527" spans="2:9" ht="14.25" x14ac:dyDescent="0.15">
      <c r="B527" s="29"/>
      <c r="C527" s="29"/>
      <c r="G527" s="13"/>
      <c r="I527" s="13"/>
    </row>
    <row r="528" spans="2:9" ht="14.25" x14ac:dyDescent="0.15">
      <c r="B528" s="29"/>
      <c r="C528" s="29"/>
      <c r="G528" s="13"/>
      <c r="I528" s="13"/>
    </row>
    <row r="529" spans="2:9" ht="14.25" x14ac:dyDescent="0.15">
      <c r="B529" s="29"/>
      <c r="C529" s="29"/>
      <c r="G529" s="13"/>
      <c r="I529" s="13"/>
    </row>
    <row r="530" spans="2:9" ht="14.25" x14ac:dyDescent="0.15">
      <c r="B530" s="29"/>
      <c r="C530" s="29"/>
      <c r="G530" s="13"/>
      <c r="I530" s="13"/>
    </row>
    <row r="531" spans="2:9" ht="14.25" x14ac:dyDescent="0.15">
      <c r="B531" s="29"/>
      <c r="C531" s="29"/>
      <c r="G531" s="13"/>
      <c r="I531" s="13"/>
    </row>
    <row r="532" spans="2:9" ht="14.25" x14ac:dyDescent="0.15">
      <c r="B532" s="29"/>
      <c r="C532" s="29"/>
      <c r="G532" s="13"/>
      <c r="I532" s="13"/>
    </row>
    <row r="533" spans="2:9" ht="14.25" x14ac:dyDescent="0.15">
      <c r="B533" s="29"/>
      <c r="C533" s="29"/>
      <c r="G533" s="13"/>
      <c r="I533" s="13"/>
    </row>
    <row r="534" spans="2:9" ht="14.25" x14ac:dyDescent="0.15">
      <c r="B534" s="29"/>
      <c r="C534" s="29"/>
      <c r="G534" s="13"/>
      <c r="I534" s="13"/>
    </row>
    <row r="535" spans="2:9" ht="14.25" x14ac:dyDescent="0.15">
      <c r="B535" s="29"/>
      <c r="C535" s="29"/>
      <c r="G535" s="13"/>
      <c r="I535" s="13"/>
    </row>
    <row r="536" spans="2:9" ht="14.25" x14ac:dyDescent="0.15">
      <c r="B536" s="29"/>
      <c r="C536" s="29"/>
      <c r="G536" s="13"/>
      <c r="I536" s="13"/>
    </row>
    <row r="537" spans="2:9" ht="14.25" x14ac:dyDescent="0.15">
      <c r="B537" s="29"/>
      <c r="C537" s="29"/>
      <c r="G537" s="13"/>
      <c r="I537" s="13"/>
    </row>
    <row r="538" spans="2:9" ht="14.25" x14ac:dyDescent="0.15">
      <c r="B538" s="29"/>
      <c r="C538" s="29"/>
      <c r="G538" s="13"/>
      <c r="I538" s="13"/>
    </row>
    <row r="539" spans="2:9" ht="14.25" x14ac:dyDescent="0.15">
      <c r="B539" s="29"/>
      <c r="C539" s="29"/>
      <c r="G539" s="13"/>
      <c r="I539" s="13"/>
    </row>
    <row r="540" spans="2:9" ht="14.25" x14ac:dyDescent="0.15">
      <c r="B540" s="29"/>
      <c r="C540" s="29"/>
      <c r="G540" s="13"/>
      <c r="I540" s="13"/>
    </row>
    <row r="541" spans="2:9" ht="14.25" x14ac:dyDescent="0.15">
      <c r="B541" s="29"/>
      <c r="C541" s="29"/>
      <c r="G541" s="13"/>
      <c r="I541" s="13"/>
    </row>
    <row r="542" spans="2:9" ht="14.25" x14ac:dyDescent="0.15">
      <c r="B542" s="29"/>
      <c r="C542" s="29"/>
      <c r="G542" s="13"/>
      <c r="I542" s="13"/>
    </row>
    <row r="543" spans="2:9" ht="14.25" x14ac:dyDescent="0.15">
      <c r="B543" s="29"/>
      <c r="C543" s="29"/>
      <c r="G543" s="13"/>
      <c r="I543" s="13"/>
    </row>
    <row r="544" spans="2:9" ht="14.25" x14ac:dyDescent="0.15">
      <c r="B544" s="29"/>
      <c r="C544" s="29"/>
      <c r="G544" s="13"/>
      <c r="I544" s="13"/>
    </row>
    <row r="545" spans="2:9" ht="14.25" x14ac:dyDescent="0.15">
      <c r="B545" s="29"/>
      <c r="C545" s="29"/>
      <c r="G545" s="13"/>
      <c r="I545" s="13"/>
    </row>
    <row r="546" spans="2:9" ht="14.25" x14ac:dyDescent="0.15">
      <c r="B546" s="29"/>
      <c r="C546" s="29"/>
      <c r="G546" s="13"/>
      <c r="I546" s="13"/>
    </row>
    <row r="547" spans="2:9" ht="14.25" x14ac:dyDescent="0.15">
      <c r="B547" s="29"/>
      <c r="C547" s="29"/>
      <c r="G547" s="13"/>
      <c r="I547" s="13"/>
    </row>
    <row r="548" spans="2:9" ht="14.25" x14ac:dyDescent="0.15">
      <c r="B548" s="29"/>
      <c r="C548" s="29"/>
      <c r="G548" s="13"/>
      <c r="I548" s="13"/>
    </row>
    <row r="549" spans="2:9" ht="14.25" x14ac:dyDescent="0.15">
      <c r="B549" s="29"/>
      <c r="C549" s="29"/>
      <c r="G549" s="13"/>
      <c r="I549" s="13"/>
    </row>
    <row r="550" spans="2:9" ht="14.25" x14ac:dyDescent="0.15">
      <c r="B550" s="29"/>
      <c r="C550" s="29"/>
      <c r="G550" s="13"/>
      <c r="I550" s="13"/>
    </row>
    <row r="551" spans="2:9" ht="14.25" x14ac:dyDescent="0.15">
      <c r="B551" s="29"/>
      <c r="C551" s="29"/>
      <c r="G551" s="13"/>
      <c r="I551" s="13"/>
    </row>
    <row r="552" spans="2:9" ht="14.25" x14ac:dyDescent="0.15">
      <c r="B552" s="29"/>
      <c r="C552" s="29"/>
      <c r="G552" s="13"/>
      <c r="I552" s="13"/>
    </row>
    <row r="553" spans="2:9" ht="14.25" x14ac:dyDescent="0.15">
      <c r="B553" s="29"/>
      <c r="C553" s="29"/>
      <c r="G553" s="13"/>
      <c r="I553" s="13"/>
    </row>
    <row r="554" spans="2:9" ht="14.25" x14ac:dyDescent="0.15">
      <c r="B554" s="29"/>
      <c r="C554" s="29"/>
      <c r="G554" s="13"/>
      <c r="I554" s="13"/>
    </row>
    <row r="555" spans="2:9" ht="14.25" x14ac:dyDescent="0.15">
      <c r="B555" s="29"/>
      <c r="C555" s="29"/>
      <c r="G555" s="13"/>
      <c r="I555" s="13"/>
    </row>
    <row r="556" spans="2:9" ht="14.25" x14ac:dyDescent="0.15">
      <c r="B556" s="29"/>
      <c r="C556" s="29"/>
      <c r="G556" s="13"/>
      <c r="I556" s="13"/>
    </row>
    <row r="557" spans="2:9" ht="14.25" x14ac:dyDescent="0.15">
      <c r="B557" s="29"/>
      <c r="C557" s="29"/>
      <c r="G557" s="13"/>
      <c r="I557" s="13"/>
    </row>
    <row r="558" spans="2:9" ht="14.25" x14ac:dyDescent="0.15">
      <c r="B558" s="29"/>
      <c r="C558" s="29"/>
      <c r="G558" s="13"/>
      <c r="I558" s="13"/>
    </row>
    <row r="559" spans="2:9" ht="14.25" x14ac:dyDescent="0.15">
      <c r="B559" s="29"/>
      <c r="C559" s="29"/>
      <c r="G559" s="13"/>
      <c r="I559" s="13"/>
    </row>
    <row r="560" spans="2:9" ht="14.25" x14ac:dyDescent="0.15">
      <c r="B560" s="29"/>
      <c r="C560" s="29"/>
      <c r="G560" s="13"/>
      <c r="I560" s="13"/>
    </row>
    <row r="561" spans="2:9" ht="14.25" x14ac:dyDescent="0.15">
      <c r="B561" s="29"/>
      <c r="C561" s="29"/>
      <c r="G561" s="13"/>
      <c r="I561" s="13"/>
    </row>
    <row r="562" spans="2:9" ht="14.25" x14ac:dyDescent="0.15">
      <c r="B562" s="29"/>
      <c r="C562" s="29"/>
      <c r="G562" s="13"/>
      <c r="I562" s="13"/>
    </row>
    <row r="563" spans="2:9" ht="14.25" x14ac:dyDescent="0.15">
      <c r="B563" s="29"/>
      <c r="C563" s="29"/>
      <c r="G563" s="13"/>
      <c r="I563" s="13"/>
    </row>
    <row r="564" spans="2:9" ht="14.25" x14ac:dyDescent="0.15">
      <c r="B564" s="29"/>
      <c r="C564" s="29"/>
      <c r="G564" s="13"/>
      <c r="I564" s="13"/>
    </row>
    <row r="565" spans="2:9" ht="14.25" x14ac:dyDescent="0.15">
      <c r="B565" s="29"/>
      <c r="C565" s="29"/>
      <c r="G565" s="13"/>
      <c r="I565" s="13"/>
    </row>
    <row r="566" spans="2:9" ht="14.25" x14ac:dyDescent="0.15">
      <c r="B566" s="29"/>
      <c r="C566" s="29"/>
      <c r="G566" s="13"/>
      <c r="I566" s="13"/>
    </row>
    <row r="567" spans="2:9" ht="14.25" x14ac:dyDescent="0.15">
      <c r="B567" s="29"/>
      <c r="C567" s="29"/>
      <c r="G567" s="13"/>
      <c r="I567" s="13"/>
    </row>
    <row r="568" spans="2:9" ht="14.25" x14ac:dyDescent="0.15">
      <c r="B568" s="29"/>
      <c r="C568" s="29"/>
      <c r="G568" s="13"/>
      <c r="I568" s="13"/>
    </row>
    <row r="569" spans="2:9" ht="14.25" x14ac:dyDescent="0.15">
      <c r="B569" s="29"/>
      <c r="C569" s="29"/>
      <c r="G569" s="13"/>
      <c r="I569" s="13"/>
    </row>
    <row r="570" spans="2:9" ht="14.25" x14ac:dyDescent="0.15">
      <c r="B570" s="29"/>
      <c r="C570" s="29"/>
      <c r="G570" s="13"/>
      <c r="I570" s="13"/>
    </row>
    <row r="571" spans="2:9" ht="14.25" x14ac:dyDescent="0.15">
      <c r="B571" s="29"/>
      <c r="C571" s="29"/>
      <c r="G571" s="13"/>
      <c r="I571" s="13"/>
    </row>
    <row r="572" spans="2:9" ht="14.25" x14ac:dyDescent="0.15">
      <c r="B572" s="29"/>
      <c r="C572" s="29"/>
      <c r="G572" s="13"/>
      <c r="I572" s="13"/>
    </row>
    <row r="573" spans="2:9" ht="14.25" x14ac:dyDescent="0.15">
      <c r="B573" s="29"/>
      <c r="C573" s="29"/>
      <c r="G573" s="13"/>
      <c r="I573" s="13"/>
    </row>
    <row r="574" spans="2:9" ht="14.25" x14ac:dyDescent="0.15">
      <c r="B574" s="29"/>
      <c r="C574" s="29"/>
      <c r="G574" s="13"/>
      <c r="I574" s="13"/>
    </row>
    <row r="575" spans="2:9" ht="14.25" x14ac:dyDescent="0.15">
      <c r="B575" s="29"/>
      <c r="C575" s="29"/>
      <c r="G575" s="13"/>
      <c r="I575" s="13"/>
    </row>
    <row r="576" spans="2:9" ht="14.25" x14ac:dyDescent="0.15">
      <c r="B576" s="29"/>
      <c r="C576" s="29"/>
      <c r="G576" s="13"/>
      <c r="I576" s="13"/>
    </row>
    <row r="577" spans="2:9" ht="14.25" x14ac:dyDescent="0.15">
      <c r="B577" s="29"/>
      <c r="C577" s="29"/>
      <c r="G577" s="13"/>
      <c r="I577" s="13"/>
    </row>
    <row r="578" spans="2:9" ht="14.25" x14ac:dyDescent="0.15">
      <c r="B578" s="29"/>
      <c r="C578" s="29"/>
      <c r="G578" s="13"/>
      <c r="I578" s="13"/>
    </row>
    <row r="579" spans="2:9" ht="14.25" x14ac:dyDescent="0.15">
      <c r="B579" s="29"/>
      <c r="C579" s="29"/>
      <c r="G579" s="13"/>
      <c r="I579" s="13"/>
    </row>
    <row r="580" spans="2:9" ht="14.25" x14ac:dyDescent="0.15">
      <c r="B580" s="29"/>
      <c r="C580" s="29"/>
      <c r="G580" s="13"/>
      <c r="I580" s="13"/>
    </row>
    <row r="581" spans="2:9" ht="14.25" x14ac:dyDescent="0.15">
      <c r="B581" s="29"/>
      <c r="C581" s="29"/>
      <c r="G581" s="13"/>
      <c r="I581" s="13"/>
    </row>
    <row r="582" spans="2:9" ht="14.25" x14ac:dyDescent="0.15">
      <c r="B582" s="29"/>
      <c r="C582" s="29"/>
      <c r="G582" s="13"/>
      <c r="I582" s="13"/>
    </row>
    <row r="583" spans="2:9" ht="14.25" x14ac:dyDescent="0.15">
      <c r="B583" s="29"/>
      <c r="C583" s="29"/>
      <c r="G583" s="13"/>
      <c r="I583" s="13"/>
    </row>
    <row r="584" spans="2:9" ht="14.25" x14ac:dyDescent="0.15">
      <c r="B584" s="29"/>
      <c r="C584" s="29"/>
      <c r="G584" s="13"/>
      <c r="I584" s="13"/>
    </row>
    <row r="585" spans="2:9" ht="14.25" x14ac:dyDescent="0.15">
      <c r="B585" s="29"/>
      <c r="C585" s="29"/>
      <c r="G585" s="13"/>
      <c r="I585" s="13"/>
    </row>
    <row r="586" spans="2:9" ht="14.25" x14ac:dyDescent="0.15">
      <c r="B586" s="29"/>
      <c r="C586" s="29"/>
      <c r="G586" s="13"/>
      <c r="I586" s="13"/>
    </row>
    <row r="587" spans="2:9" ht="14.25" x14ac:dyDescent="0.15">
      <c r="B587" s="29"/>
      <c r="C587" s="29"/>
      <c r="G587" s="13"/>
      <c r="I587" s="13"/>
    </row>
    <row r="588" spans="2:9" ht="14.25" x14ac:dyDescent="0.15">
      <c r="B588" s="29"/>
      <c r="C588" s="29"/>
      <c r="G588" s="13"/>
      <c r="I588" s="13"/>
    </row>
    <row r="589" spans="2:9" ht="14.25" x14ac:dyDescent="0.15">
      <c r="B589" s="29"/>
      <c r="C589" s="29"/>
      <c r="G589" s="13"/>
      <c r="I589" s="13"/>
    </row>
    <row r="590" spans="2:9" ht="14.25" x14ac:dyDescent="0.15">
      <c r="B590" s="29"/>
      <c r="C590" s="29"/>
      <c r="G590" s="13"/>
      <c r="I590" s="13"/>
    </row>
    <row r="591" spans="2:9" ht="14.25" x14ac:dyDescent="0.15">
      <c r="B591" s="29"/>
      <c r="C591" s="29"/>
      <c r="G591" s="13"/>
      <c r="I591" s="13"/>
    </row>
    <row r="592" spans="2:9" ht="14.25" x14ac:dyDescent="0.15">
      <c r="B592" s="29"/>
      <c r="C592" s="29"/>
      <c r="G592" s="13"/>
      <c r="I592" s="13"/>
    </row>
    <row r="593" spans="2:9" ht="14.25" x14ac:dyDescent="0.15">
      <c r="B593" s="29"/>
      <c r="C593" s="29"/>
      <c r="G593" s="13"/>
      <c r="I593" s="13"/>
    </row>
    <row r="594" spans="2:9" ht="14.25" x14ac:dyDescent="0.15">
      <c r="B594" s="29"/>
      <c r="C594" s="29"/>
      <c r="G594" s="13"/>
      <c r="I594" s="13"/>
    </row>
    <row r="595" spans="2:9" ht="14.25" x14ac:dyDescent="0.15">
      <c r="B595" s="29"/>
      <c r="C595" s="29"/>
      <c r="G595" s="13"/>
      <c r="I595" s="13"/>
    </row>
    <row r="596" spans="2:9" ht="14.25" x14ac:dyDescent="0.15">
      <c r="B596" s="29"/>
      <c r="C596" s="29"/>
      <c r="G596" s="13"/>
      <c r="I596" s="13"/>
    </row>
    <row r="597" spans="2:9" ht="14.25" x14ac:dyDescent="0.15">
      <c r="B597" s="29"/>
      <c r="C597" s="29"/>
      <c r="G597" s="13"/>
      <c r="I597" s="13"/>
    </row>
    <row r="598" spans="2:9" ht="14.25" x14ac:dyDescent="0.15">
      <c r="B598" s="29"/>
      <c r="C598" s="29"/>
      <c r="G598" s="13"/>
      <c r="I598" s="13"/>
    </row>
    <row r="599" spans="2:9" ht="14.25" x14ac:dyDescent="0.15">
      <c r="B599" s="29"/>
      <c r="C599" s="29"/>
      <c r="G599" s="13"/>
      <c r="I599" s="13"/>
    </row>
    <row r="600" spans="2:9" ht="14.25" x14ac:dyDescent="0.15">
      <c r="B600" s="29"/>
      <c r="C600" s="29"/>
      <c r="G600" s="13"/>
      <c r="I600" s="13"/>
    </row>
    <row r="601" spans="2:9" ht="14.25" x14ac:dyDescent="0.15">
      <c r="B601" s="29"/>
      <c r="C601" s="29"/>
      <c r="G601" s="13"/>
      <c r="I601" s="13"/>
    </row>
    <row r="602" spans="2:9" ht="14.25" x14ac:dyDescent="0.15">
      <c r="B602" s="29"/>
      <c r="C602" s="29"/>
      <c r="G602" s="13"/>
      <c r="I602" s="13"/>
    </row>
    <row r="603" spans="2:9" ht="14.25" x14ac:dyDescent="0.15">
      <c r="B603" s="29"/>
      <c r="C603" s="29"/>
      <c r="G603" s="13"/>
      <c r="I603" s="13"/>
    </row>
    <row r="604" spans="2:9" ht="14.25" x14ac:dyDescent="0.15">
      <c r="B604" s="29"/>
      <c r="C604" s="29"/>
      <c r="G604" s="13"/>
      <c r="I604" s="13"/>
    </row>
    <row r="605" spans="2:9" ht="14.25" x14ac:dyDescent="0.15">
      <c r="B605" s="29"/>
      <c r="C605" s="29"/>
      <c r="G605" s="13"/>
      <c r="I605" s="13"/>
    </row>
    <row r="606" spans="2:9" ht="14.25" x14ac:dyDescent="0.15">
      <c r="B606" s="29"/>
      <c r="C606" s="29"/>
      <c r="G606" s="13"/>
      <c r="I606" s="13"/>
    </row>
    <row r="607" spans="2:9" ht="14.25" x14ac:dyDescent="0.15">
      <c r="B607" s="29"/>
      <c r="C607" s="29"/>
      <c r="G607" s="13"/>
      <c r="I607" s="13"/>
    </row>
    <row r="608" spans="2:9" ht="14.25" x14ac:dyDescent="0.15">
      <c r="B608" s="29"/>
      <c r="C608" s="29"/>
      <c r="G608" s="13"/>
      <c r="I608" s="13"/>
    </row>
    <row r="609" spans="2:9" ht="14.25" x14ac:dyDescent="0.15">
      <c r="B609" s="29"/>
      <c r="C609" s="29"/>
      <c r="G609" s="13"/>
      <c r="I609" s="13"/>
    </row>
    <row r="610" spans="2:9" ht="14.25" x14ac:dyDescent="0.15">
      <c r="B610" s="29"/>
      <c r="C610" s="29"/>
      <c r="G610" s="13"/>
      <c r="I610" s="13"/>
    </row>
    <row r="611" spans="2:9" ht="14.25" x14ac:dyDescent="0.15">
      <c r="B611" s="29"/>
      <c r="C611" s="29"/>
      <c r="G611" s="13"/>
      <c r="I611" s="13"/>
    </row>
    <row r="612" spans="2:9" ht="14.25" x14ac:dyDescent="0.15">
      <c r="B612" s="29"/>
      <c r="C612" s="29"/>
      <c r="G612" s="13"/>
      <c r="I612" s="13"/>
    </row>
    <row r="613" spans="2:9" ht="14.25" x14ac:dyDescent="0.15">
      <c r="B613" s="29"/>
      <c r="C613" s="29"/>
      <c r="G613" s="13"/>
      <c r="I613" s="13"/>
    </row>
    <row r="614" spans="2:9" ht="14.25" x14ac:dyDescent="0.15">
      <c r="B614" s="29"/>
      <c r="C614" s="29"/>
      <c r="G614" s="13"/>
      <c r="I614" s="13"/>
    </row>
    <row r="615" spans="2:9" ht="14.25" x14ac:dyDescent="0.15">
      <c r="B615" s="29"/>
      <c r="C615" s="29"/>
      <c r="G615" s="13"/>
      <c r="I615" s="13"/>
    </row>
    <row r="616" spans="2:9" ht="14.25" x14ac:dyDescent="0.15">
      <c r="B616" s="29"/>
      <c r="C616" s="29"/>
      <c r="G616" s="13"/>
      <c r="I616" s="13"/>
    </row>
    <row r="617" spans="2:9" ht="14.25" x14ac:dyDescent="0.15">
      <c r="B617" s="29"/>
      <c r="C617" s="29"/>
      <c r="G617" s="13"/>
      <c r="I617" s="13"/>
    </row>
    <row r="618" spans="2:9" ht="14.25" x14ac:dyDescent="0.15">
      <c r="B618" s="29"/>
      <c r="C618" s="29"/>
      <c r="G618" s="13"/>
      <c r="I618" s="13"/>
    </row>
    <row r="619" spans="2:9" ht="14.25" x14ac:dyDescent="0.15">
      <c r="B619" s="29"/>
      <c r="C619" s="29"/>
      <c r="G619" s="13"/>
      <c r="I619" s="13"/>
    </row>
    <row r="620" spans="2:9" ht="14.25" x14ac:dyDescent="0.15">
      <c r="B620" s="29"/>
      <c r="C620" s="29"/>
      <c r="G620" s="13"/>
      <c r="I620" s="13"/>
    </row>
    <row r="621" spans="2:9" ht="14.25" x14ac:dyDescent="0.15">
      <c r="B621" s="29"/>
      <c r="C621" s="29"/>
      <c r="G621" s="13"/>
      <c r="I621" s="13"/>
    </row>
    <row r="622" spans="2:9" ht="14.25" x14ac:dyDescent="0.15">
      <c r="B622" s="29"/>
      <c r="C622" s="29"/>
      <c r="G622" s="13"/>
      <c r="I622" s="13"/>
    </row>
    <row r="623" spans="2:9" ht="14.25" x14ac:dyDescent="0.15">
      <c r="B623" s="29"/>
      <c r="C623" s="29"/>
      <c r="G623" s="13"/>
      <c r="I623" s="13"/>
    </row>
    <row r="624" spans="2:9" ht="14.25" x14ac:dyDescent="0.15">
      <c r="B624" s="29"/>
      <c r="C624" s="29"/>
      <c r="G624" s="13"/>
      <c r="I624" s="13"/>
    </row>
    <row r="625" spans="2:9" ht="14.25" x14ac:dyDescent="0.15">
      <c r="B625" s="29"/>
      <c r="C625" s="29"/>
      <c r="G625" s="13"/>
      <c r="I625" s="13"/>
    </row>
    <row r="626" spans="2:9" ht="14.25" x14ac:dyDescent="0.15">
      <c r="B626" s="29"/>
      <c r="C626" s="29"/>
      <c r="G626" s="13"/>
      <c r="I626" s="13"/>
    </row>
    <row r="627" spans="2:9" ht="14.25" x14ac:dyDescent="0.15">
      <c r="B627" s="29"/>
      <c r="C627" s="29"/>
      <c r="G627" s="13"/>
      <c r="I627" s="13"/>
    </row>
    <row r="628" spans="2:9" ht="14.25" x14ac:dyDescent="0.15">
      <c r="B628" s="29"/>
      <c r="C628" s="29"/>
      <c r="G628" s="13"/>
      <c r="I628" s="13"/>
    </row>
    <row r="629" spans="2:9" ht="14.25" x14ac:dyDescent="0.15">
      <c r="B629" s="29"/>
      <c r="C629" s="29"/>
      <c r="G629" s="13"/>
      <c r="I629" s="13"/>
    </row>
    <row r="630" spans="2:9" ht="14.25" x14ac:dyDescent="0.15">
      <c r="B630" s="29"/>
      <c r="C630" s="29"/>
      <c r="G630" s="13"/>
      <c r="I630" s="13"/>
    </row>
    <row r="631" spans="2:9" ht="14.25" x14ac:dyDescent="0.15">
      <c r="B631" s="29"/>
      <c r="C631" s="29"/>
      <c r="G631" s="13"/>
      <c r="I631" s="13"/>
    </row>
    <row r="632" spans="2:9" ht="14.25" x14ac:dyDescent="0.15">
      <c r="B632" s="29"/>
      <c r="C632" s="29"/>
      <c r="G632" s="13"/>
      <c r="I632" s="13"/>
    </row>
    <row r="633" spans="2:9" ht="14.25" x14ac:dyDescent="0.15">
      <c r="B633" s="29"/>
      <c r="C633" s="29"/>
      <c r="G633" s="13"/>
      <c r="I633" s="13"/>
    </row>
    <row r="634" spans="2:9" ht="14.25" x14ac:dyDescent="0.15">
      <c r="B634" s="29"/>
      <c r="C634" s="29"/>
      <c r="G634" s="13"/>
      <c r="I634" s="13"/>
    </row>
    <row r="635" spans="2:9" ht="14.25" x14ac:dyDescent="0.15">
      <c r="B635" s="29"/>
      <c r="C635" s="29"/>
      <c r="G635" s="13"/>
      <c r="I635" s="13"/>
    </row>
    <row r="636" spans="2:9" ht="14.25" x14ac:dyDescent="0.15">
      <c r="B636" s="29"/>
      <c r="C636" s="29"/>
      <c r="G636" s="13"/>
      <c r="I636" s="13"/>
    </row>
    <row r="637" spans="2:9" ht="14.25" x14ac:dyDescent="0.15">
      <c r="B637" s="29"/>
      <c r="C637" s="29"/>
      <c r="G637" s="13"/>
      <c r="I637" s="13"/>
    </row>
    <row r="638" spans="2:9" ht="14.25" x14ac:dyDescent="0.15">
      <c r="B638" s="29"/>
      <c r="C638" s="29"/>
      <c r="G638" s="13"/>
      <c r="I638" s="13"/>
    </row>
    <row r="639" spans="2:9" ht="14.25" x14ac:dyDescent="0.15">
      <c r="B639" s="29"/>
      <c r="C639" s="29"/>
      <c r="G639" s="13"/>
      <c r="I639" s="13"/>
    </row>
    <row r="640" spans="2:9" ht="14.25" x14ac:dyDescent="0.15">
      <c r="B640" s="29"/>
      <c r="C640" s="29"/>
      <c r="G640" s="13"/>
      <c r="I640" s="13"/>
    </row>
    <row r="641" spans="2:9" ht="14.25" x14ac:dyDescent="0.15">
      <c r="B641" s="29"/>
      <c r="C641" s="29"/>
      <c r="G641" s="13"/>
      <c r="I641" s="13"/>
    </row>
    <row r="642" spans="2:9" ht="14.25" x14ac:dyDescent="0.15">
      <c r="B642" s="29"/>
      <c r="C642" s="29"/>
      <c r="G642" s="13"/>
      <c r="I642" s="13"/>
    </row>
    <row r="643" spans="2:9" ht="14.25" x14ac:dyDescent="0.15">
      <c r="B643" s="29"/>
      <c r="C643" s="29"/>
      <c r="G643" s="13"/>
      <c r="I643" s="13"/>
    </row>
    <row r="644" spans="2:9" ht="14.25" x14ac:dyDescent="0.15">
      <c r="B644" s="29"/>
      <c r="C644" s="29"/>
      <c r="G644" s="13"/>
      <c r="I644" s="13"/>
    </row>
    <row r="645" spans="2:9" ht="14.25" x14ac:dyDescent="0.15">
      <c r="B645" s="29"/>
      <c r="C645" s="29"/>
      <c r="G645" s="13"/>
      <c r="I645" s="13"/>
    </row>
    <row r="646" spans="2:9" ht="14.25" x14ac:dyDescent="0.15">
      <c r="B646" s="29"/>
      <c r="C646" s="29"/>
      <c r="G646" s="13"/>
      <c r="I646" s="13"/>
    </row>
    <row r="647" spans="2:9" ht="14.25" x14ac:dyDescent="0.15">
      <c r="B647" s="29"/>
      <c r="C647" s="29"/>
      <c r="G647" s="13"/>
      <c r="I647" s="13"/>
    </row>
    <row r="648" spans="2:9" ht="14.25" x14ac:dyDescent="0.15">
      <c r="B648" s="29"/>
      <c r="C648" s="29"/>
      <c r="G648" s="13"/>
      <c r="I648" s="13"/>
    </row>
    <row r="649" spans="2:9" ht="14.25" x14ac:dyDescent="0.15">
      <c r="B649" s="29"/>
      <c r="C649" s="29"/>
      <c r="G649" s="13"/>
      <c r="I649" s="13"/>
    </row>
    <row r="650" spans="2:9" ht="14.25" x14ac:dyDescent="0.15">
      <c r="B650" s="29"/>
      <c r="C650" s="29"/>
      <c r="G650" s="13"/>
      <c r="I650" s="13"/>
    </row>
    <row r="651" spans="2:9" ht="14.25" x14ac:dyDescent="0.15">
      <c r="B651" s="29"/>
      <c r="C651" s="29"/>
      <c r="G651" s="13"/>
      <c r="I651" s="13"/>
    </row>
    <row r="652" spans="2:9" ht="14.25" x14ac:dyDescent="0.15">
      <c r="B652" s="29"/>
      <c r="C652" s="29"/>
      <c r="G652" s="13"/>
      <c r="I652" s="13"/>
    </row>
    <row r="653" spans="2:9" ht="14.25" x14ac:dyDescent="0.15">
      <c r="B653" s="29"/>
      <c r="C653" s="29"/>
      <c r="G653" s="13"/>
      <c r="I653" s="13"/>
    </row>
    <row r="654" spans="2:9" ht="14.25" x14ac:dyDescent="0.15">
      <c r="B654" s="29"/>
      <c r="C654" s="29"/>
      <c r="G654" s="13"/>
      <c r="I654" s="13"/>
    </row>
    <row r="655" spans="2:9" ht="14.25" x14ac:dyDescent="0.15">
      <c r="B655" s="29"/>
      <c r="C655" s="29"/>
      <c r="G655" s="13"/>
      <c r="I655" s="13"/>
    </row>
    <row r="656" spans="2:9" ht="14.25" x14ac:dyDescent="0.15">
      <c r="B656" s="29"/>
      <c r="C656" s="29"/>
      <c r="G656" s="13"/>
      <c r="I656" s="13"/>
    </row>
    <row r="657" spans="2:9" ht="14.25" x14ac:dyDescent="0.15">
      <c r="B657" s="29"/>
      <c r="C657" s="29"/>
      <c r="G657" s="13"/>
      <c r="I657" s="13"/>
    </row>
    <row r="658" spans="2:9" ht="14.25" x14ac:dyDescent="0.15">
      <c r="B658" s="29"/>
      <c r="C658" s="29"/>
      <c r="G658" s="13"/>
      <c r="I658" s="13"/>
    </row>
    <row r="659" spans="2:9" ht="14.25" x14ac:dyDescent="0.15">
      <c r="B659" s="29"/>
      <c r="C659" s="29"/>
      <c r="G659" s="13"/>
      <c r="I659" s="13"/>
    </row>
    <row r="660" spans="2:9" ht="14.25" x14ac:dyDescent="0.15">
      <c r="B660" s="29"/>
      <c r="C660" s="29"/>
      <c r="G660" s="13"/>
      <c r="I660" s="13"/>
    </row>
    <row r="661" spans="2:9" ht="14.25" x14ac:dyDescent="0.15">
      <c r="B661" s="29"/>
      <c r="C661" s="29"/>
      <c r="G661" s="13"/>
      <c r="I661" s="13"/>
    </row>
    <row r="662" spans="2:9" ht="14.25" x14ac:dyDescent="0.15">
      <c r="B662" s="29"/>
      <c r="C662" s="29"/>
      <c r="G662" s="13"/>
      <c r="I662" s="13"/>
    </row>
    <row r="663" spans="2:9" ht="14.25" x14ac:dyDescent="0.15">
      <c r="B663" s="29"/>
      <c r="C663" s="29"/>
      <c r="G663" s="13"/>
      <c r="I663" s="13"/>
    </row>
    <row r="664" spans="2:9" ht="14.25" x14ac:dyDescent="0.15">
      <c r="B664" s="29"/>
      <c r="C664" s="29"/>
      <c r="G664" s="13"/>
      <c r="I664" s="13"/>
    </row>
    <row r="665" spans="2:9" ht="14.25" x14ac:dyDescent="0.15">
      <c r="B665" s="29"/>
      <c r="C665" s="29"/>
      <c r="G665" s="13"/>
      <c r="I665" s="13"/>
    </row>
    <row r="666" spans="2:9" ht="14.25" x14ac:dyDescent="0.15">
      <c r="B666" s="29"/>
      <c r="C666" s="29"/>
      <c r="G666" s="13"/>
      <c r="I666" s="13"/>
    </row>
    <row r="667" spans="2:9" ht="14.25" x14ac:dyDescent="0.15">
      <c r="B667" s="29"/>
      <c r="C667" s="29"/>
      <c r="G667" s="13"/>
      <c r="I667" s="13"/>
    </row>
    <row r="668" spans="2:9" ht="14.25" x14ac:dyDescent="0.15">
      <c r="B668" s="29"/>
      <c r="C668" s="29"/>
      <c r="G668" s="13"/>
      <c r="I668" s="13"/>
    </row>
    <row r="669" spans="2:9" ht="14.25" x14ac:dyDescent="0.15">
      <c r="B669" s="29"/>
      <c r="C669" s="29"/>
      <c r="G669" s="13"/>
      <c r="I669" s="13"/>
    </row>
    <row r="670" spans="2:9" ht="14.25" x14ac:dyDescent="0.15">
      <c r="B670" s="29"/>
      <c r="C670" s="29"/>
      <c r="G670" s="13"/>
      <c r="I670" s="13"/>
    </row>
    <row r="671" spans="2:9" ht="14.25" x14ac:dyDescent="0.15">
      <c r="B671" s="29"/>
      <c r="C671" s="29"/>
      <c r="G671" s="13"/>
      <c r="I671" s="13"/>
    </row>
    <row r="672" spans="2:9" ht="14.25" x14ac:dyDescent="0.15">
      <c r="B672" s="29"/>
      <c r="C672" s="29"/>
      <c r="G672" s="13"/>
      <c r="I672" s="13"/>
    </row>
    <row r="673" spans="2:9" ht="14.25" x14ac:dyDescent="0.15">
      <c r="B673" s="29"/>
      <c r="C673" s="29"/>
      <c r="G673" s="13"/>
      <c r="I673" s="13"/>
    </row>
    <row r="674" spans="2:9" ht="14.25" x14ac:dyDescent="0.15">
      <c r="B674" s="29"/>
      <c r="C674" s="29"/>
      <c r="G674" s="13"/>
      <c r="I674" s="13"/>
    </row>
    <row r="675" spans="2:9" ht="14.25" x14ac:dyDescent="0.15">
      <c r="B675" s="29"/>
      <c r="C675" s="29"/>
      <c r="G675" s="13"/>
      <c r="I675" s="13"/>
    </row>
    <row r="676" spans="2:9" ht="14.25" x14ac:dyDescent="0.15">
      <c r="B676" s="29"/>
      <c r="C676" s="29"/>
      <c r="G676" s="13"/>
      <c r="I676" s="13"/>
    </row>
    <row r="677" spans="2:9" ht="14.25" x14ac:dyDescent="0.15">
      <c r="B677" s="29"/>
      <c r="C677" s="29"/>
      <c r="G677" s="13"/>
      <c r="I677" s="13"/>
    </row>
    <row r="678" spans="2:9" ht="14.25" x14ac:dyDescent="0.15">
      <c r="B678" s="29"/>
      <c r="C678" s="29"/>
      <c r="G678" s="13"/>
      <c r="I678" s="13"/>
    </row>
    <row r="679" spans="2:9" ht="14.25" x14ac:dyDescent="0.15">
      <c r="B679" s="29"/>
      <c r="C679" s="29"/>
      <c r="G679" s="13"/>
      <c r="I679" s="13"/>
    </row>
    <row r="680" spans="2:9" ht="14.25" x14ac:dyDescent="0.15">
      <c r="B680" s="29"/>
      <c r="C680" s="29"/>
      <c r="G680" s="13"/>
      <c r="I680" s="13"/>
    </row>
    <row r="681" spans="2:9" ht="14.25" x14ac:dyDescent="0.15">
      <c r="B681" s="29"/>
      <c r="C681" s="29"/>
      <c r="G681" s="13"/>
      <c r="I681" s="13"/>
    </row>
    <row r="682" spans="2:9" ht="14.25" x14ac:dyDescent="0.15">
      <c r="B682" s="29"/>
      <c r="C682" s="29"/>
      <c r="G682" s="13"/>
      <c r="I682" s="13"/>
    </row>
    <row r="683" spans="2:9" ht="14.25" x14ac:dyDescent="0.15">
      <c r="B683" s="29"/>
      <c r="C683" s="29"/>
      <c r="G683" s="13"/>
      <c r="I683" s="13"/>
    </row>
    <row r="684" spans="2:9" ht="14.25" x14ac:dyDescent="0.15">
      <c r="B684" s="29"/>
      <c r="C684" s="29"/>
      <c r="G684" s="13"/>
      <c r="I684" s="13"/>
    </row>
    <row r="685" spans="2:9" ht="14.25" x14ac:dyDescent="0.15">
      <c r="B685" s="29"/>
      <c r="C685" s="29"/>
      <c r="G685" s="13"/>
      <c r="I685" s="13"/>
    </row>
    <row r="686" spans="2:9" ht="14.25" x14ac:dyDescent="0.15">
      <c r="B686" s="29"/>
      <c r="C686" s="29"/>
      <c r="G686" s="13"/>
      <c r="I686" s="13"/>
    </row>
    <row r="687" spans="2:9" ht="14.25" x14ac:dyDescent="0.15">
      <c r="B687" s="29"/>
      <c r="C687" s="29"/>
      <c r="G687" s="13"/>
      <c r="I687" s="13"/>
    </row>
    <row r="688" spans="2:9" ht="14.25" x14ac:dyDescent="0.15">
      <c r="B688" s="29"/>
      <c r="C688" s="29"/>
      <c r="G688" s="13"/>
      <c r="I688" s="13"/>
    </row>
    <row r="689" spans="2:9" ht="14.25" x14ac:dyDescent="0.15">
      <c r="B689" s="29"/>
      <c r="C689" s="29"/>
      <c r="G689" s="13"/>
      <c r="I689" s="13"/>
    </row>
    <row r="690" spans="2:9" ht="14.25" x14ac:dyDescent="0.15">
      <c r="B690" s="29"/>
      <c r="C690" s="29"/>
      <c r="G690" s="13"/>
      <c r="I690" s="13"/>
    </row>
    <row r="691" spans="2:9" ht="14.25" x14ac:dyDescent="0.15">
      <c r="B691" s="29"/>
      <c r="C691" s="29"/>
      <c r="G691" s="13"/>
      <c r="I691" s="13"/>
    </row>
    <row r="692" spans="2:9" ht="14.25" x14ac:dyDescent="0.15">
      <c r="B692" s="29"/>
      <c r="C692" s="29"/>
      <c r="G692" s="13"/>
      <c r="I692" s="13"/>
    </row>
    <row r="693" spans="2:9" ht="14.25" x14ac:dyDescent="0.15">
      <c r="B693" s="29"/>
      <c r="C693" s="29"/>
      <c r="G693" s="13"/>
      <c r="I693" s="13"/>
    </row>
    <row r="694" spans="2:9" ht="14.25" x14ac:dyDescent="0.15">
      <c r="B694" s="29"/>
      <c r="C694" s="29"/>
      <c r="G694" s="13"/>
      <c r="I694" s="13"/>
    </row>
    <row r="695" spans="2:9" ht="14.25" x14ac:dyDescent="0.15">
      <c r="B695" s="29"/>
      <c r="C695" s="29"/>
      <c r="G695" s="13"/>
      <c r="I695" s="13"/>
    </row>
    <row r="696" spans="2:9" ht="14.25" x14ac:dyDescent="0.15">
      <c r="B696" s="29"/>
      <c r="C696" s="29"/>
      <c r="G696" s="13"/>
      <c r="I696" s="13"/>
    </row>
    <row r="697" spans="2:9" ht="14.25" x14ac:dyDescent="0.15">
      <c r="B697" s="29"/>
      <c r="C697" s="29"/>
      <c r="G697" s="13"/>
      <c r="I697" s="13"/>
    </row>
    <row r="698" spans="2:9" ht="14.25" x14ac:dyDescent="0.15">
      <c r="B698" s="29"/>
      <c r="C698" s="29"/>
      <c r="G698" s="13"/>
      <c r="I698" s="13"/>
    </row>
    <row r="699" spans="2:9" ht="14.25" x14ac:dyDescent="0.15">
      <c r="B699" s="29"/>
      <c r="C699" s="29"/>
      <c r="G699" s="13"/>
      <c r="I699" s="13"/>
    </row>
    <row r="700" spans="2:9" ht="14.25" x14ac:dyDescent="0.15">
      <c r="B700" s="29"/>
      <c r="C700" s="29"/>
      <c r="G700" s="13"/>
      <c r="I700" s="13"/>
    </row>
    <row r="701" spans="2:9" ht="14.25" x14ac:dyDescent="0.15">
      <c r="B701" s="29"/>
      <c r="C701" s="29"/>
      <c r="G701" s="13"/>
      <c r="I701" s="13"/>
    </row>
    <row r="702" spans="2:9" ht="14.25" x14ac:dyDescent="0.15">
      <c r="B702" s="29"/>
      <c r="C702" s="29"/>
      <c r="G702" s="13"/>
      <c r="I702" s="13"/>
    </row>
    <row r="703" spans="2:9" ht="14.25" x14ac:dyDescent="0.15">
      <c r="B703" s="29"/>
      <c r="C703" s="29"/>
      <c r="G703" s="13"/>
      <c r="I703" s="13"/>
    </row>
    <row r="704" spans="2:9" ht="14.25" x14ac:dyDescent="0.15">
      <c r="B704" s="29"/>
      <c r="C704" s="29"/>
      <c r="G704" s="13"/>
      <c r="I704" s="13"/>
    </row>
    <row r="705" spans="2:9" ht="14.25" x14ac:dyDescent="0.15">
      <c r="B705" s="29"/>
      <c r="C705" s="29"/>
      <c r="G705" s="13"/>
      <c r="I705" s="13"/>
    </row>
    <row r="706" spans="2:9" ht="14.25" x14ac:dyDescent="0.15">
      <c r="B706" s="29"/>
      <c r="C706" s="29"/>
      <c r="G706" s="13"/>
      <c r="I706" s="13"/>
    </row>
    <row r="707" spans="2:9" ht="14.25" x14ac:dyDescent="0.15">
      <c r="B707" s="29"/>
      <c r="C707" s="29"/>
      <c r="G707" s="13"/>
      <c r="I707" s="13"/>
    </row>
    <row r="708" spans="2:9" ht="14.25" x14ac:dyDescent="0.15">
      <c r="B708" s="29"/>
      <c r="C708" s="29"/>
      <c r="G708" s="13"/>
      <c r="I708" s="13"/>
    </row>
    <row r="709" spans="2:9" ht="14.25" x14ac:dyDescent="0.15">
      <c r="B709" s="29"/>
      <c r="C709" s="29"/>
      <c r="G709" s="13"/>
      <c r="I709" s="13"/>
    </row>
    <row r="710" spans="2:9" ht="14.25" x14ac:dyDescent="0.15">
      <c r="B710" s="29"/>
      <c r="C710" s="29"/>
      <c r="G710" s="13"/>
      <c r="I710" s="13"/>
    </row>
    <row r="711" spans="2:9" ht="14.25" x14ac:dyDescent="0.15">
      <c r="B711" s="29"/>
      <c r="C711" s="29"/>
      <c r="G711" s="13"/>
      <c r="I711" s="13"/>
    </row>
    <row r="712" spans="2:9" ht="14.25" x14ac:dyDescent="0.15">
      <c r="B712" s="29"/>
      <c r="C712" s="29"/>
      <c r="G712" s="13"/>
      <c r="I712" s="13"/>
    </row>
    <row r="713" spans="2:9" ht="14.25" x14ac:dyDescent="0.15">
      <c r="B713" s="29"/>
      <c r="C713" s="29"/>
      <c r="G713" s="13"/>
      <c r="I713" s="13"/>
    </row>
    <row r="714" spans="2:9" ht="14.25" x14ac:dyDescent="0.15">
      <c r="B714" s="29"/>
      <c r="C714" s="29"/>
      <c r="G714" s="13"/>
      <c r="I714" s="13"/>
    </row>
    <row r="715" spans="2:9" ht="14.25" x14ac:dyDescent="0.15">
      <c r="B715" s="29"/>
      <c r="C715" s="29"/>
      <c r="G715" s="13"/>
      <c r="I715" s="13"/>
    </row>
    <row r="716" spans="2:9" ht="14.25" x14ac:dyDescent="0.15">
      <c r="B716" s="29"/>
      <c r="C716" s="29"/>
      <c r="G716" s="13"/>
      <c r="I716" s="13"/>
    </row>
    <row r="717" spans="2:9" ht="14.25" x14ac:dyDescent="0.15">
      <c r="B717" s="29"/>
      <c r="C717" s="29"/>
      <c r="G717" s="13"/>
      <c r="I717" s="13"/>
    </row>
    <row r="718" spans="2:9" ht="14.25" x14ac:dyDescent="0.15">
      <c r="B718" s="29"/>
      <c r="C718" s="29"/>
      <c r="G718" s="13"/>
      <c r="I718" s="13"/>
    </row>
    <row r="719" spans="2:9" ht="14.25" x14ac:dyDescent="0.15">
      <c r="B719" s="29"/>
      <c r="C719" s="29"/>
      <c r="G719" s="13"/>
      <c r="I719" s="13"/>
    </row>
    <row r="720" spans="2:9" ht="14.25" x14ac:dyDescent="0.15">
      <c r="B720" s="29"/>
      <c r="C720" s="29"/>
      <c r="G720" s="13"/>
      <c r="I720" s="13"/>
    </row>
    <row r="721" spans="2:9" ht="14.25" x14ac:dyDescent="0.15">
      <c r="B721" s="29"/>
      <c r="C721" s="29"/>
      <c r="G721" s="13"/>
      <c r="I721" s="13"/>
    </row>
    <row r="722" spans="2:9" ht="14.25" x14ac:dyDescent="0.15">
      <c r="B722" s="29"/>
      <c r="C722" s="29"/>
      <c r="G722" s="13"/>
      <c r="I722" s="13"/>
    </row>
    <row r="723" spans="2:9" ht="14.25" x14ac:dyDescent="0.15">
      <c r="B723" s="29"/>
      <c r="C723" s="29"/>
      <c r="G723" s="13"/>
      <c r="I723" s="13"/>
    </row>
    <row r="724" spans="2:9" ht="14.25" x14ac:dyDescent="0.15">
      <c r="B724" s="29"/>
      <c r="C724" s="29"/>
      <c r="G724" s="13"/>
      <c r="I724" s="13"/>
    </row>
    <row r="725" spans="2:9" ht="14.25" x14ac:dyDescent="0.15">
      <c r="B725" s="29"/>
      <c r="C725" s="29"/>
      <c r="G725" s="13"/>
      <c r="I725" s="13"/>
    </row>
    <row r="726" spans="2:9" ht="14.25" x14ac:dyDescent="0.15">
      <c r="B726" s="29"/>
      <c r="C726" s="29"/>
      <c r="G726" s="13"/>
      <c r="I726" s="13"/>
    </row>
    <row r="727" spans="2:9" ht="14.25" x14ac:dyDescent="0.15">
      <c r="B727" s="29"/>
      <c r="C727" s="29"/>
      <c r="G727" s="13"/>
      <c r="I727" s="13"/>
    </row>
    <row r="728" spans="2:9" ht="14.25" x14ac:dyDescent="0.15">
      <c r="B728" s="29"/>
      <c r="C728" s="29"/>
      <c r="G728" s="13"/>
      <c r="I728" s="13"/>
    </row>
    <row r="729" spans="2:9" ht="14.25" x14ac:dyDescent="0.15">
      <c r="B729" s="29"/>
      <c r="C729" s="29"/>
      <c r="G729" s="13"/>
      <c r="I729" s="13"/>
    </row>
    <row r="730" spans="2:9" ht="14.25" x14ac:dyDescent="0.15">
      <c r="B730" s="29"/>
      <c r="C730" s="29"/>
      <c r="G730" s="13"/>
      <c r="I730" s="13"/>
    </row>
    <row r="731" spans="2:9" ht="14.25" x14ac:dyDescent="0.15">
      <c r="B731" s="29"/>
      <c r="C731" s="29"/>
      <c r="G731" s="13"/>
      <c r="I731" s="13"/>
    </row>
    <row r="732" spans="2:9" ht="14.25" x14ac:dyDescent="0.15">
      <c r="B732" s="29"/>
      <c r="C732" s="29"/>
      <c r="G732" s="13"/>
      <c r="I732" s="13"/>
    </row>
    <row r="733" spans="2:9" ht="14.25" x14ac:dyDescent="0.15">
      <c r="B733" s="29"/>
      <c r="C733" s="29"/>
      <c r="G733" s="13"/>
      <c r="I733" s="13"/>
    </row>
    <row r="734" spans="2:9" ht="14.25" x14ac:dyDescent="0.15">
      <c r="B734" s="29"/>
      <c r="C734" s="29"/>
      <c r="G734" s="13"/>
      <c r="I734" s="13"/>
    </row>
    <row r="735" spans="2:9" ht="14.25" x14ac:dyDescent="0.15">
      <c r="B735" s="29"/>
      <c r="C735" s="29"/>
      <c r="G735" s="13"/>
      <c r="I735" s="13"/>
    </row>
    <row r="736" spans="2:9" ht="14.25" x14ac:dyDescent="0.15">
      <c r="B736" s="29"/>
      <c r="C736" s="29"/>
      <c r="G736" s="13"/>
      <c r="I736" s="13"/>
    </row>
    <row r="737" spans="2:9" ht="14.25" x14ac:dyDescent="0.15">
      <c r="B737" s="29"/>
      <c r="C737" s="29"/>
      <c r="G737" s="13"/>
      <c r="I737" s="13"/>
    </row>
    <row r="738" spans="2:9" ht="14.25" x14ac:dyDescent="0.15">
      <c r="B738" s="29"/>
      <c r="C738" s="29"/>
      <c r="G738" s="13"/>
      <c r="I738" s="13"/>
    </row>
    <row r="739" spans="2:9" ht="14.25" x14ac:dyDescent="0.15">
      <c r="B739" s="29"/>
      <c r="C739" s="29"/>
      <c r="G739" s="13"/>
      <c r="I739" s="13"/>
    </row>
    <row r="740" spans="2:9" ht="14.25" x14ac:dyDescent="0.15">
      <c r="B740" s="29"/>
      <c r="C740" s="29"/>
      <c r="G740" s="13"/>
      <c r="I740" s="13"/>
    </row>
    <row r="741" spans="2:9" ht="14.25" x14ac:dyDescent="0.15">
      <c r="B741" s="29"/>
      <c r="C741" s="29"/>
      <c r="G741" s="13"/>
      <c r="I741" s="13"/>
    </row>
    <row r="742" spans="2:9" ht="14.25" x14ac:dyDescent="0.15">
      <c r="B742" s="29"/>
      <c r="C742" s="29"/>
      <c r="G742" s="13"/>
      <c r="I742" s="13"/>
    </row>
    <row r="743" spans="2:9" ht="14.25" x14ac:dyDescent="0.15">
      <c r="B743" s="29"/>
      <c r="C743" s="29"/>
      <c r="G743" s="13"/>
      <c r="I743" s="13"/>
    </row>
    <row r="744" spans="2:9" ht="14.25" x14ac:dyDescent="0.15">
      <c r="B744" s="29"/>
      <c r="C744" s="29"/>
      <c r="G744" s="13"/>
      <c r="I744" s="13"/>
    </row>
    <row r="745" spans="2:9" ht="14.25" x14ac:dyDescent="0.15">
      <c r="B745" s="29"/>
      <c r="C745" s="29"/>
      <c r="G745" s="13"/>
      <c r="I745" s="13"/>
    </row>
    <row r="746" spans="2:9" ht="14.25" x14ac:dyDescent="0.15">
      <c r="B746" s="29"/>
      <c r="C746" s="29"/>
      <c r="G746" s="13"/>
      <c r="I746" s="13"/>
    </row>
    <row r="747" spans="2:9" ht="14.25" x14ac:dyDescent="0.15">
      <c r="B747" s="29"/>
      <c r="C747" s="29"/>
      <c r="G747" s="13"/>
      <c r="I747" s="13"/>
    </row>
    <row r="748" spans="2:9" ht="14.25" x14ac:dyDescent="0.15">
      <c r="B748" s="29"/>
      <c r="C748" s="29"/>
      <c r="G748" s="13"/>
      <c r="I748" s="13"/>
    </row>
    <row r="749" spans="2:9" ht="14.25" x14ac:dyDescent="0.15">
      <c r="B749" s="29"/>
      <c r="C749" s="29"/>
      <c r="G749" s="13"/>
      <c r="I749" s="13"/>
    </row>
    <row r="750" spans="2:9" ht="14.25" x14ac:dyDescent="0.15">
      <c r="B750" s="29"/>
      <c r="C750" s="29"/>
      <c r="G750" s="13"/>
      <c r="I750" s="13"/>
    </row>
    <row r="751" spans="2:9" ht="14.25" x14ac:dyDescent="0.15">
      <c r="B751" s="29"/>
      <c r="C751" s="29"/>
      <c r="G751" s="13"/>
      <c r="I751" s="13"/>
    </row>
    <row r="752" spans="2:9" ht="14.25" x14ac:dyDescent="0.15">
      <c r="B752" s="29"/>
      <c r="C752" s="29"/>
      <c r="G752" s="13"/>
      <c r="I752" s="13"/>
    </row>
    <row r="753" spans="2:9" ht="14.25" x14ac:dyDescent="0.15">
      <c r="B753" s="29"/>
      <c r="C753" s="29"/>
      <c r="G753" s="13"/>
      <c r="I753" s="13"/>
    </row>
    <row r="754" spans="2:9" ht="14.25" x14ac:dyDescent="0.15">
      <c r="B754" s="29"/>
      <c r="C754" s="29"/>
      <c r="G754" s="13"/>
      <c r="I754" s="13"/>
    </row>
    <row r="755" spans="2:9" ht="14.25" x14ac:dyDescent="0.15">
      <c r="B755" s="29"/>
      <c r="C755" s="29"/>
      <c r="G755" s="13"/>
      <c r="I755" s="13"/>
    </row>
    <row r="756" spans="2:9" ht="14.25" x14ac:dyDescent="0.15">
      <c r="B756" s="29"/>
      <c r="C756" s="29"/>
      <c r="G756" s="13"/>
      <c r="I756" s="13"/>
    </row>
    <row r="757" spans="2:9" ht="14.25" x14ac:dyDescent="0.15">
      <c r="B757" s="29"/>
      <c r="C757" s="29"/>
      <c r="G757" s="13"/>
      <c r="I757" s="13"/>
    </row>
    <row r="758" spans="2:9" ht="14.25" x14ac:dyDescent="0.15">
      <c r="B758" s="29"/>
      <c r="C758" s="29"/>
      <c r="G758" s="13"/>
      <c r="I758" s="13"/>
    </row>
    <row r="759" spans="2:9" ht="14.25" x14ac:dyDescent="0.15">
      <c r="B759" s="29"/>
      <c r="C759" s="29"/>
      <c r="G759" s="13"/>
      <c r="I759" s="13"/>
    </row>
    <row r="760" spans="2:9" ht="14.25" x14ac:dyDescent="0.15">
      <c r="B760" s="29"/>
      <c r="C760" s="29"/>
      <c r="G760" s="13"/>
      <c r="I760" s="13"/>
    </row>
    <row r="761" spans="2:9" ht="14.25" x14ac:dyDescent="0.15">
      <c r="B761" s="29"/>
      <c r="C761" s="29"/>
      <c r="G761" s="13"/>
      <c r="I761" s="13"/>
    </row>
    <row r="762" spans="2:9" ht="14.25" x14ac:dyDescent="0.15">
      <c r="B762" s="29"/>
      <c r="C762" s="29"/>
      <c r="G762" s="13"/>
      <c r="I762" s="13"/>
    </row>
    <row r="763" spans="2:9" ht="14.25" x14ac:dyDescent="0.15">
      <c r="B763" s="29"/>
      <c r="C763" s="29"/>
      <c r="G763" s="13"/>
      <c r="I763" s="13"/>
    </row>
    <row r="764" spans="2:9" ht="14.25" x14ac:dyDescent="0.15">
      <c r="B764" s="29"/>
      <c r="C764" s="29"/>
      <c r="G764" s="13"/>
      <c r="I764" s="13"/>
    </row>
    <row r="765" spans="2:9" ht="14.25" x14ac:dyDescent="0.15">
      <c r="B765" s="29"/>
      <c r="C765" s="29"/>
      <c r="G765" s="13"/>
      <c r="I765" s="13"/>
    </row>
    <row r="766" spans="2:9" ht="14.25" x14ac:dyDescent="0.15">
      <c r="B766" s="29"/>
      <c r="C766" s="29"/>
      <c r="G766" s="13"/>
      <c r="I766" s="13"/>
    </row>
    <row r="767" spans="2:9" ht="14.25" x14ac:dyDescent="0.15">
      <c r="B767" s="29"/>
      <c r="C767" s="29"/>
      <c r="G767" s="13"/>
      <c r="I767" s="13"/>
    </row>
    <row r="768" spans="2:9" ht="14.25" x14ac:dyDescent="0.15">
      <c r="B768" s="29"/>
      <c r="C768" s="29"/>
      <c r="G768" s="13"/>
      <c r="I768" s="13"/>
    </row>
    <row r="769" spans="2:9" ht="14.25" x14ac:dyDescent="0.15">
      <c r="B769" s="29"/>
      <c r="C769" s="29"/>
      <c r="G769" s="13"/>
      <c r="I769" s="13"/>
    </row>
    <row r="770" spans="2:9" ht="14.25" x14ac:dyDescent="0.15">
      <c r="B770" s="29"/>
      <c r="C770" s="29"/>
      <c r="G770" s="13"/>
      <c r="I770" s="13"/>
    </row>
    <row r="771" spans="2:9" ht="14.25" x14ac:dyDescent="0.15">
      <c r="B771" s="29"/>
      <c r="C771" s="29"/>
      <c r="G771" s="13"/>
      <c r="I771" s="13"/>
    </row>
    <row r="772" spans="2:9" ht="14.25" x14ac:dyDescent="0.15">
      <c r="B772" s="29"/>
      <c r="C772" s="29"/>
      <c r="G772" s="13"/>
      <c r="I772" s="13"/>
    </row>
    <row r="773" spans="2:9" ht="14.25" x14ac:dyDescent="0.15">
      <c r="B773" s="29"/>
      <c r="C773" s="29"/>
      <c r="G773" s="13"/>
      <c r="I773" s="13"/>
    </row>
    <row r="774" spans="2:9" ht="14.25" x14ac:dyDescent="0.15">
      <c r="B774" s="29"/>
      <c r="C774" s="29"/>
      <c r="G774" s="13"/>
      <c r="I774" s="13"/>
    </row>
    <row r="775" spans="2:9" ht="14.25" x14ac:dyDescent="0.15">
      <c r="B775" s="29"/>
      <c r="C775" s="29"/>
      <c r="G775" s="13"/>
      <c r="I775" s="13"/>
    </row>
    <row r="776" spans="2:9" ht="14.25" x14ac:dyDescent="0.15">
      <c r="B776" s="29"/>
      <c r="C776" s="29"/>
      <c r="G776" s="13"/>
      <c r="I776" s="13"/>
    </row>
    <row r="777" spans="2:9" ht="14.25" x14ac:dyDescent="0.15">
      <c r="B777" s="29"/>
      <c r="C777" s="29"/>
      <c r="G777" s="13"/>
      <c r="I777" s="13"/>
    </row>
    <row r="778" spans="2:9" ht="14.25" x14ac:dyDescent="0.15">
      <c r="B778" s="29"/>
      <c r="C778" s="29"/>
      <c r="G778" s="13"/>
      <c r="I778" s="13"/>
    </row>
    <row r="779" spans="2:9" ht="14.25" x14ac:dyDescent="0.15">
      <c r="B779" s="29"/>
      <c r="C779" s="29"/>
      <c r="G779" s="13"/>
      <c r="I779" s="13"/>
    </row>
    <row r="780" spans="2:9" ht="14.25" x14ac:dyDescent="0.15">
      <c r="B780" s="29"/>
      <c r="C780" s="29"/>
      <c r="G780" s="13"/>
      <c r="I780" s="13"/>
    </row>
    <row r="781" spans="2:9" ht="14.25" x14ac:dyDescent="0.15">
      <c r="B781" s="29"/>
      <c r="C781" s="29"/>
      <c r="G781" s="13"/>
      <c r="I781" s="13"/>
    </row>
    <row r="782" spans="2:9" ht="14.25" x14ac:dyDescent="0.15">
      <c r="B782" s="29"/>
      <c r="C782" s="29"/>
      <c r="G782" s="13"/>
      <c r="I782" s="13"/>
    </row>
    <row r="783" spans="2:9" ht="14.25" x14ac:dyDescent="0.15">
      <c r="B783" s="29"/>
      <c r="C783" s="29"/>
      <c r="G783" s="13"/>
      <c r="I783" s="13"/>
    </row>
    <row r="784" spans="2:9" ht="14.25" x14ac:dyDescent="0.15">
      <c r="B784" s="29"/>
      <c r="C784" s="29"/>
      <c r="G784" s="13"/>
      <c r="I784" s="13"/>
    </row>
    <row r="785" spans="2:9" ht="14.25" x14ac:dyDescent="0.15">
      <c r="B785" s="29"/>
      <c r="C785" s="29"/>
      <c r="G785" s="13"/>
      <c r="I785" s="13"/>
    </row>
    <row r="786" spans="2:9" ht="14.25" x14ac:dyDescent="0.15">
      <c r="B786" s="29"/>
      <c r="C786" s="29"/>
      <c r="G786" s="13"/>
      <c r="I786" s="13"/>
    </row>
    <row r="787" spans="2:9" ht="14.25" x14ac:dyDescent="0.15">
      <c r="B787" s="29"/>
      <c r="C787" s="29"/>
      <c r="G787" s="13"/>
      <c r="I787" s="13"/>
    </row>
    <row r="788" spans="2:9" ht="14.25" x14ac:dyDescent="0.15">
      <c r="B788" s="29"/>
      <c r="C788" s="29"/>
      <c r="G788" s="13"/>
      <c r="I788" s="13"/>
    </row>
    <row r="789" spans="2:9" ht="14.25" x14ac:dyDescent="0.15">
      <c r="B789" s="29"/>
      <c r="C789" s="29"/>
      <c r="G789" s="13"/>
      <c r="I789" s="13"/>
    </row>
    <row r="790" spans="2:9" ht="14.25" x14ac:dyDescent="0.15">
      <c r="B790" s="29"/>
      <c r="C790" s="29"/>
      <c r="G790" s="13"/>
      <c r="I790" s="13"/>
    </row>
    <row r="791" spans="2:9" ht="14.25" x14ac:dyDescent="0.15">
      <c r="B791" s="29"/>
      <c r="C791" s="29"/>
      <c r="G791" s="13"/>
      <c r="I791" s="13"/>
    </row>
    <row r="792" spans="2:9" ht="14.25" x14ac:dyDescent="0.15">
      <c r="B792" s="29"/>
      <c r="C792" s="29"/>
      <c r="G792" s="13"/>
      <c r="I792" s="13"/>
    </row>
    <row r="793" spans="2:9" ht="14.25" x14ac:dyDescent="0.15">
      <c r="B793" s="29"/>
      <c r="C793" s="29"/>
      <c r="G793" s="13"/>
      <c r="I793" s="13"/>
    </row>
    <row r="794" spans="2:9" ht="14.25" x14ac:dyDescent="0.15">
      <c r="B794" s="29"/>
      <c r="C794" s="29"/>
      <c r="G794" s="13"/>
      <c r="I794" s="13"/>
    </row>
    <row r="795" spans="2:9" ht="14.25" x14ac:dyDescent="0.15">
      <c r="B795" s="29"/>
      <c r="C795" s="29"/>
      <c r="G795" s="13"/>
      <c r="I795" s="13"/>
    </row>
    <row r="796" spans="2:9" ht="14.25" x14ac:dyDescent="0.15">
      <c r="B796" s="29"/>
      <c r="C796" s="29"/>
      <c r="G796" s="13"/>
      <c r="I796" s="13"/>
    </row>
    <row r="797" spans="2:9" ht="14.25" x14ac:dyDescent="0.15">
      <c r="B797" s="29"/>
      <c r="C797" s="29"/>
      <c r="G797" s="13"/>
      <c r="I797" s="13"/>
    </row>
    <row r="798" spans="2:9" ht="14.25" x14ac:dyDescent="0.15">
      <c r="B798" s="29"/>
      <c r="C798" s="29"/>
      <c r="G798" s="13"/>
      <c r="I798" s="13"/>
    </row>
    <row r="799" spans="2:9" ht="14.25" x14ac:dyDescent="0.15">
      <c r="B799" s="29"/>
      <c r="C799" s="29"/>
      <c r="G799" s="13"/>
      <c r="I799" s="13"/>
    </row>
    <row r="800" spans="2:9" ht="14.25" x14ac:dyDescent="0.15">
      <c r="B800" s="29"/>
      <c r="C800" s="29"/>
      <c r="G800" s="13"/>
      <c r="I800" s="13"/>
    </row>
    <row r="801" spans="2:9" ht="14.25" x14ac:dyDescent="0.15">
      <c r="B801" s="29"/>
      <c r="C801" s="29"/>
      <c r="G801" s="13"/>
      <c r="I801" s="13"/>
    </row>
    <row r="802" spans="2:9" ht="14.25" x14ac:dyDescent="0.15">
      <c r="B802" s="29"/>
      <c r="C802" s="29"/>
      <c r="G802" s="13"/>
      <c r="I802" s="13"/>
    </row>
    <row r="803" spans="2:9" ht="14.25" x14ac:dyDescent="0.15">
      <c r="B803" s="29"/>
      <c r="C803" s="29"/>
      <c r="G803" s="13"/>
      <c r="I803" s="13"/>
    </row>
    <row r="804" spans="2:9" ht="14.25" x14ac:dyDescent="0.15">
      <c r="B804" s="29"/>
      <c r="C804" s="29"/>
      <c r="G804" s="13"/>
      <c r="I804" s="13"/>
    </row>
    <row r="805" spans="2:9" ht="14.25" x14ac:dyDescent="0.15">
      <c r="B805" s="29"/>
      <c r="C805" s="29"/>
      <c r="G805" s="13"/>
      <c r="I805" s="13"/>
    </row>
    <row r="806" spans="2:9" ht="14.25" x14ac:dyDescent="0.15">
      <c r="B806" s="29"/>
      <c r="C806" s="29"/>
      <c r="G806" s="13"/>
      <c r="I806" s="13"/>
    </row>
    <row r="807" spans="2:9" ht="14.25" x14ac:dyDescent="0.15">
      <c r="B807" s="29"/>
      <c r="C807" s="29"/>
      <c r="G807" s="13"/>
      <c r="I807" s="13"/>
    </row>
    <row r="808" spans="2:9" ht="14.25" x14ac:dyDescent="0.15">
      <c r="B808" s="29"/>
      <c r="C808" s="29"/>
      <c r="G808" s="13"/>
      <c r="I808" s="13"/>
    </row>
    <row r="809" spans="2:9" ht="14.25" x14ac:dyDescent="0.15">
      <c r="B809" s="29"/>
      <c r="C809" s="29"/>
      <c r="G809" s="13"/>
      <c r="I809" s="13"/>
    </row>
    <row r="810" spans="2:9" ht="14.25" x14ac:dyDescent="0.15">
      <c r="B810" s="29"/>
      <c r="C810" s="29"/>
      <c r="G810" s="13"/>
      <c r="I810" s="13"/>
    </row>
    <row r="811" spans="2:9" ht="14.25" x14ac:dyDescent="0.15">
      <c r="B811" s="29"/>
      <c r="C811" s="29"/>
      <c r="G811" s="13"/>
      <c r="I811" s="13"/>
    </row>
    <row r="812" spans="2:9" ht="14.25" x14ac:dyDescent="0.15">
      <c r="B812" s="29"/>
      <c r="C812" s="29"/>
      <c r="G812" s="13"/>
      <c r="I812" s="13"/>
    </row>
    <row r="813" spans="2:9" ht="14.25" x14ac:dyDescent="0.15">
      <c r="B813" s="29"/>
      <c r="C813" s="29"/>
      <c r="G813" s="13"/>
      <c r="I813" s="13"/>
    </row>
    <row r="814" spans="2:9" ht="14.25" x14ac:dyDescent="0.15">
      <c r="B814" s="29"/>
      <c r="C814" s="29"/>
      <c r="G814" s="13"/>
      <c r="I814" s="13"/>
    </row>
    <row r="815" spans="2:9" ht="14.25" x14ac:dyDescent="0.15">
      <c r="B815" s="29"/>
      <c r="C815" s="29"/>
      <c r="G815" s="13"/>
      <c r="I815" s="13"/>
    </row>
    <row r="816" spans="2:9" ht="14.25" x14ac:dyDescent="0.15">
      <c r="B816" s="29"/>
      <c r="C816" s="29"/>
      <c r="G816" s="13"/>
      <c r="I816" s="13"/>
    </row>
    <row r="817" spans="2:9" ht="14.25" x14ac:dyDescent="0.15">
      <c r="B817" s="29"/>
      <c r="C817" s="29"/>
      <c r="G817" s="13"/>
      <c r="I817" s="13"/>
    </row>
    <row r="818" spans="2:9" ht="14.25" x14ac:dyDescent="0.15">
      <c r="B818" s="29"/>
      <c r="C818" s="29"/>
      <c r="G818" s="13"/>
      <c r="I818" s="13"/>
    </row>
    <row r="819" spans="2:9" ht="14.25" x14ac:dyDescent="0.15">
      <c r="B819" s="29"/>
      <c r="C819" s="29"/>
      <c r="G819" s="13"/>
      <c r="I819" s="13"/>
    </row>
    <row r="820" spans="2:9" ht="14.25" x14ac:dyDescent="0.15">
      <c r="B820" s="29"/>
      <c r="C820" s="29"/>
      <c r="G820" s="13"/>
      <c r="I820" s="13"/>
    </row>
    <row r="821" spans="2:9" ht="14.25" x14ac:dyDescent="0.15">
      <c r="B821" s="29"/>
      <c r="C821" s="29"/>
      <c r="G821" s="13"/>
      <c r="I821" s="13"/>
    </row>
    <row r="822" spans="2:9" ht="14.25" x14ac:dyDescent="0.15">
      <c r="B822" s="29"/>
      <c r="C822" s="29"/>
      <c r="G822" s="13"/>
      <c r="I822" s="13"/>
    </row>
    <row r="823" spans="2:9" ht="14.25" x14ac:dyDescent="0.15">
      <c r="B823" s="29"/>
      <c r="C823" s="29"/>
      <c r="G823" s="13"/>
      <c r="I823" s="13"/>
    </row>
    <row r="824" spans="2:9" ht="14.25" x14ac:dyDescent="0.15">
      <c r="B824" s="29"/>
      <c r="C824" s="29"/>
      <c r="G824" s="13"/>
      <c r="I824" s="13"/>
    </row>
    <row r="825" spans="2:9" ht="14.25" x14ac:dyDescent="0.15">
      <c r="B825" s="29"/>
      <c r="C825" s="29"/>
      <c r="G825" s="13"/>
      <c r="I825" s="13"/>
    </row>
    <row r="826" spans="2:9" ht="14.25" x14ac:dyDescent="0.15">
      <c r="B826" s="29"/>
      <c r="C826" s="29"/>
      <c r="G826" s="13"/>
      <c r="I826" s="13"/>
    </row>
    <row r="827" spans="2:9" ht="14.25" x14ac:dyDescent="0.15">
      <c r="B827" s="29"/>
      <c r="C827" s="29"/>
      <c r="G827" s="13"/>
      <c r="I827" s="13"/>
    </row>
    <row r="828" spans="2:9" ht="14.25" x14ac:dyDescent="0.15">
      <c r="B828" s="29"/>
      <c r="C828" s="29"/>
      <c r="G828" s="13"/>
      <c r="I828" s="13"/>
    </row>
    <row r="829" spans="2:9" ht="14.25" x14ac:dyDescent="0.15">
      <c r="B829" s="29"/>
      <c r="C829" s="29"/>
      <c r="G829" s="13"/>
      <c r="I829" s="13"/>
    </row>
    <row r="830" spans="2:9" ht="14.25" x14ac:dyDescent="0.15">
      <c r="B830" s="29"/>
      <c r="C830" s="29"/>
      <c r="G830" s="13"/>
      <c r="I830" s="13"/>
    </row>
    <row r="831" spans="2:9" ht="14.25" x14ac:dyDescent="0.15">
      <c r="B831" s="29"/>
      <c r="C831" s="29"/>
      <c r="G831" s="13"/>
      <c r="I831" s="13"/>
    </row>
    <row r="832" spans="2:9" ht="14.25" x14ac:dyDescent="0.15">
      <c r="B832" s="29"/>
      <c r="C832" s="29"/>
      <c r="G832" s="13"/>
      <c r="I832" s="13"/>
    </row>
    <row r="833" spans="2:9" ht="14.25" x14ac:dyDescent="0.15">
      <c r="B833" s="29"/>
      <c r="C833" s="29"/>
      <c r="G833" s="13"/>
      <c r="I833" s="13"/>
    </row>
    <row r="834" spans="2:9" ht="14.25" x14ac:dyDescent="0.15">
      <c r="B834" s="29"/>
      <c r="C834" s="29"/>
      <c r="G834" s="13"/>
      <c r="I834" s="13"/>
    </row>
    <row r="835" spans="2:9" ht="14.25" x14ac:dyDescent="0.15">
      <c r="B835" s="29"/>
      <c r="C835" s="29"/>
      <c r="G835" s="13"/>
      <c r="I835" s="13"/>
    </row>
    <row r="836" spans="2:9" ht="14.25" x14ac:dyDescent="0.15">
      <c r="B836" s="29"/>
      <c r="C836" s="29"/>
      <c r="G836" s="13"/>
      <c r="I836" s="13"/>
    </row>
    <row r="837" spans="2:9" ht="14.25" x14ac:dyDescent="0.15">
      <c r="B837" s="29"/>
      <c r="C837" s="29"/>
      <c r="G837" s="13"/>
      <c r="I837" s="13"/>
    </row>
    <row r="838" spans="2:9" ht="14.25" x14ac:dyDescent="0.15">
      <c r="B838" s="29"/>
      <c r="C838" s="29"/>
      <c r="G838" s="13"/>
      <c r="I838" s="13"/>
    </row>
    <row r="839" spans="2:9" ht="14.25" x14ac:dyDescent="0.15">
      <c r="B839" s="29"/>
      <c r="C839" s="29"/>
      <c r="G839" s="13"/>
      <c r="I839" s="13"/>
    </row>
    <row r="840" spans="2:9" ht="14.25" x14ac:dyDescent="0.15">
      <c r="B840" s="29"/>
      <c r="C840" s="29"/>
      <c r="G840" s="13"/>
      <c r="I840" s="13"/>
    </row>
    <row r="841" spans="2:9" ht="14.25" x14ac:dyDescent="0.15">
      <c r="B841" s="29"/>
      <c r="C841" s="29"/>
      <c r="G841" s="13"/>
      <c r="I841" s="13"/>
    </row>
    <row r="842" spans="2:9" ht="14.25" x14ac:dyDescent="0.15">
      <c r="B842" s="29"/>
      <c r="C842" s="29"/>
      <c r="G842" s="13"/>
      <c r="I842" s="13"/>
    </row>
    <row r="843" spans="2:9" ht="14.25" x14ac:dyDescent="0.15">
      <c r="B843" s="29"/>
      <c r="C843" s="29"/>
      <c r="G843" s="13"/>
      <c r="I843" s="13"/>
    </row>
    <row r="844" spans="2:9" ht="14.25" x14ac:dyDescent="0.15">
      <c r="B844" s="29"/>
      <c r="C844" s="29"/>
      <c r="G844" s="13"/>
      <c r="I844" s="13"/>
    </row>
    <row r="845" spans="2:9" ht="14.25" x14ac:dyDescent="0.15">
      <c r="B845" s="29"/>
      <c r="C845" s="29"/>
      <c r="G845" s="13"/>
      <c r="I845" s="13"/>
    </row>
    <row r="846" spans="2:9" ht="14.25" x14ac:dyDescent="0.15">
      <c r="B846" s="29"/>
      <c r="C846" s="29"/>
      <c r="G846" s="13"/>
      <c r="I846" s="13"/>
    </row>
    <row r="847" spans="2:9" ht="14.25" x14ac:dyDescent="0.15">
      <c r="B847" s="29"/>
      <c r="C847" s="29"/>
      <c r="G847" s="13"/>
      <c r="I847" s="13"/>
    </row>
    <row r="848" spans="2:9" ht="14.25" x14ac:dyDescent="0.15">
      <c r="B848" s="29"/>
      <c r="C848" s="29"/>
      <c r="G848" s="13"/>
      <c r="I848" s="13"/>
    </row>
    <row r="849" spans="2:9" ht="14.25" x14ac:dyDescent="0.15">
      <c r="B849" s="29"/>
      <c r="C849" s="29"/>
      <c r="G849" s="13"/>
      <c r="I849" s="13"/>
    </row>
    <row r="850" spans="2:9" ht="14.25" x14ac:dyDescent="0.15">
      <c r="B850" s="29"/>
      <c r="C850" s="29"/>
      <c r="G850" s="13"/>
      <c r="I850" s="13"/>
    </row>
    <row r="851" spans="2:9" ht="14.25" x14ac:dyDescent="0.15">
      <c r="B851" s="29"/>
      <c r="C851" s="29"/>
      <c r="G851" s="13"/>
      <c r="I851" s="13"/>
    </row>
    <row r="852" spans="2:9" ht="14.25" x14ac:dyDescent="0.15">
      <c r="B852" s="29"/>
      <c r="C852" s="29"/>
      <c r="G852" s="13"/>
      <c r="I852" s="13"/>
    </row>
    <row r="853" spans="2:9" ht="14.25" x14ac:dyDescent="0.15">
      <c r="B853" s="29"/>
      <c r="C853" s="29"/>
      <c r="G853" s="13"/>
      <c r="I853" s="13"/>
    </row>
    <row r="854" spans="2:9" ht="14.25" x14ac:dyDescent="0.15">
      <c r="B854" s="29"/>
      <c r="C854" s="29"/>
      <c r="G854" s="13"/>
      <c r="I854" s="13"/>
    </row>
    <row r="855" spans="2:9" ht="14.25" x14ac:dyDescent="0.15">
      <c r="B855" s="29"/>
      <c r="C855" s="29"/>
      <c r="G855" s="13"/>
      <c r="I855" s="13"/>
    </row>
    <row r="856" spans="2:9" ht="14.25" x14ac:dyDescent="0.15">
      <c r="B856" s="29"/>
      <c r="C856" s="29"/>
      <c r="G856" s="13"/>
      <c r="I856" s="13"/>
    </row>
    <row r="857" spans="2:9" ht="14.25" x14ac:dyDescent="0.15">
      <c r="B857" s="29"/>
      <c r="C857" s="29"/>
      <c r="G857" s="13"/>
      <c r="I857" s="13"/>
    </row>
    <row r="858" spans="2:9" ht="14.25" x14ac:dyDescent="0.15">
      <c r="B858" s="29"/>
      <c r="C858" s="29"/>
      <c r="G858" s="13"/>
      <c r="I858" s="13"/>
    </row>
    <row r="859" spans="2:9" ht="14.25" x14ac:dyDescent="0.15">
      <c r="B859" s="29"/>
      <c r="C859" s="29"/>
      <c r="G859" s="13"/>
      <c r="I859" s="13"/>
    </row>
    <row r="860" spans="2:9" ht="14.25" x14ac:dyDescent="0.15">
      <c r="B860" s="29"/>
      <c r="C860" s="29"/>
      <c r="G860" s="13"/>
      <c r="I860" s="13"/>
    </row>
    <row r="861" spans="2:9" ht="14.25" x14ac:dyDescent="0.15">
      <c r="B861" s="29"/>
      <c r="C861" s="29"/>
      <c r="G861" s="13"/>
      <c r="I861" s="13"/>
    </row>
    <row r="862" spans="2:9" ht="14.25" x14ac:dyDescent="0.15">
      <c r="B862" s="29"/>
      <c r="C862" s="29"/>
      <c r="G862" s="13"/>
      <c r="I862" s="13"/>
    </row>
    <row r="863" spans="2:9" ht="14.25" x14ac:dyDescent="0.15">
      <c r="B863" s="29"/>
      <c r="C863" s="29"/>
      <c r="G863" s="13"/>
      <c r="I863" s="13"/>
    </row>
    <row r="864" spans="2:9" ht="14.25" x14ac:dyDescent="0.15">
      <c r="B864" s="29"/>
      <c r="C864" s="29"/>
      <c r="G864" s="13"/>
      <c r="I864" s="13"/>
    </row>
    <row r="865" spans="2:9" ht="14.25" x14ac:dyDescent="0.15">
      <c r="B865" s="29"/>
      <c r="C865" s="29"/>
      <c r="G865" s="13"/>
      <c r="I865" s="13"/>
    </row>
    <row r="866" spans="2:9" ht="14.25" x14ac:dyDescent="0.15">
      <c r="B866" s="29"/>
      <c r="C866" s="29"/>
      <c r="G866" s="13"/>
      <c r="I866" s="13"/>
    </row>
    <row r="867" spans="2:9" ht="14.25" x14ac:dyDescent="0.15">
      <c r="B867" s="29"/>
      <c r="C867" s="29"/>
      <c r="G867" s="13"/>
      <c r="I867" s="13"/>
    </row>
    <row r="868" spans="2:9" ht="14.25" x14ac:dyDescent="0.15">
      <c r="B868" s="29"/>
      <c r="C868" s="29"/>
      <c r="G868" s="13"/>
      <c r="I868" s="13"/>
    </row>
    <row r="869" spans="2:9" ht="14.25" x14ac:dyDescent="0.15">
      <c r="B869" s="29"/>
      <c r="C869" s="29"/>
      <c r="G869" s="13"/>
      <c r="I869" s="13"/>
    </row>
    <row r="870" spans="2:9" ht="14.25" x14ac:dyDescent="0.15">
      <c r="B870" s="29"/>
      <c r="C870" s="29"/>
      <c r="G870" s="13"/>
      <c r="I870" s="13"/>
    </row>
    <row r="871" spans="2:9" ht="14.25" x14ac:dyDescent="0.15">
      <c r="B871" s="29"/>
      <c r="C871" s="29"/>
      <c r="G871" s="13"/>
      <c r="I871" s="13"/>
    </row>
    <row r="872" spans="2:9" ht="14.25" x14ac:dyDescent="0.15">
      <c r="B872" s="29"/>
      <c r="C872" s="29"/>
      <c r="G872" s="13"/>
      <c r="I872" s="13"/>
    </row>
    <row r="873" spans="2:9" ht="14.25" x14ac:dyDescent="0.15">
      <c r="B873" s="29"/>
      <c r="C873" s="29"/>
      <c r="G873" s="13"/>
      <c r="I873" s="13"/>
    </row>
    <row r="874" spans="2:9" ht="14.25" x14ac:dyDescent="0.15">
      <c r="B874" s="29"/>
      <c r="C874" s="29"/>
      <c r="G874" s="13"/>
      <c r="I874" s="13"/>
    </row>
    <row r="875" spans="2:9" ht="14.25" x14ac:dyDescent="0.15">
      <c r="B875" s="29"/>
      <c r="C875" s="29"/>
      <c r="G875" s="13"/>
      <c r="I875" s="13"/>
    </row>
    <row r="876" spans="2:9" ht="14.25" x14ac:dyDescent="0.15">
      <c r="B876" s="29"/>
      <c r="C876" s="29"/>
      <c r="G876" s="13"/>
      <c r="I876" s="13"/>
    </row>
    <row r="877" spans="2:9" ht="14.25" x14ac:dyDescent="0.15">
      <c r="B877" s="29"/>
      <c r="C877" s="29"/>
      <c r="G877" s="13"/>
      <c r="I877" s="13"/>
    </row>
    <row r="878" spans="2:9" ht="14.25" x14ac:dyDescent="0.15">
      <c r="B878" s="29"/>
      <c r="C878" s="29"/>
      <c r="G878" s="13"/>
      <c r="I878" s="13"/>
    </row>
    <row r="879" spans="2:9" ht="14.25" x14ac:dyDescent="0.15">
      <c r="B879" s="29"/>
      <c r="C879" s="29"/>
      <c r="G879" s="13"/>
      <c r="I879" s="13"/>
    </row>
    <row r="880" spans="2:9" ht="14.25" x14ac:dyDescent="0.15">
      <c r="B880" s="29"/>
      <c r="C880" s="29"/>
      <c r="G880" s="13"/>
      <c r="I880" s="13"/>
    </row>
    <row r="881" spans="2:9" ht="14.25" x14ac:dyDescent="0.15">
      <c r="B881" s="29"/>
      <c r="C881" s="29"/>
      <c r="G881" s="13"/>
      <c r="I881" s="13"/>
    </row>
    <row r="882" spans="2:9" ht="14.25" x14ac:dyDescent="0.15">
      <c r="B882" s="29"/>
      <c r="C882" s="29"/>
      <c r="G882" s="13"/>
      <c r="I882" s="13"/>
    </row>
    <row r="883" spans="2:9" ht="14.25" x14ac:dyDescent="0.15">
      <c r="B883" s="29"/>
      <c r="C883" s="29"/>
      <c r="G883" s="13"/>
      <c r="I883" s="13"/>
    </row>
    <row r="884" spans="2:9" ht="14.25" x14ac:dyDescent="0.15">
      <c r="B884" s="29"/>
      <c r="C884" s="29"/>
      <c r="G884" s="13"/>
      <c r="I884" s="13"/>
    </row>
    <row r="885" spans="2:9" ht="14.25" x14ac:dyDescent="0.15">
      <c r="B885" s="29"/>
      <c r="C885" s="29"/>
      <c r="G885" s="13"/>
      <c r="I885" s="13"/>
    </row>
    <row r="886" spans="2:9" ht="14.25" x14ac:dyDescent="0.15">
      <c r="B886" s="29"/>
      <c r="C886" s="29"/>
      <c r="G886" s="13"/>
      <c r="I886" s="13"/>
    </row>
    <row r="887" spans="2:9" ht="14.25" x14ac:dyDescent="0.15">
      <c r="B887" s="29"/>
      <c r="C887" s="29"/>
      <c r="G887" s="13"/>
      <c r="I887" s="13"/>
    </row>
    <row r="888" spans="2:9" ht="14.25" x14ac:dyDescent="0.15">
      <c r="B888" s="29"/>
      <c r="C888" s="29"/>
      <c r="G888" s="13"/>
      <c r="I888" s="13"/>
    </row>
    <row r="889" spans="2:9" ht="14.25" x14ac:dyDescent="0.15">
      <c r="B889" s="29"/>
      <c r="C889" s="29"/>
      <c r="G889" s="13"/>
      <c r="I889" s="13"/>
    </row>
    <row r="890" spans="2:9" ht="14.25" x14ac:dyDescent="0.15">
      <c r="B890" s="29"/>
      <c r="C890" s="29"/>
      <c r="G890" s="13"/>
      <c r="I890" s="13"/>
    </row>
    <row r="891" spans="2:9" ht="14.25" x14ac:dyDescent="0.15">
      <c r="B891" s="29"/>
      <c r="C891" s="29"/>
      <c r="G891" s="13"/>
      <c r="I891" s="13"/>
    </row>
    <row r="892" spans="2:9" ht="14.25" x14ac:dyDescent="0.15">
      <c r="B892" s="29"/>
      <c r="C892" s="29"/>
      <c r="G892" s="13"/>
      <c r="I892" s="13"/>
    </row>
    <row r="893" spans="2:9" ht="14.25" x14ac:dyDescent="0.15">
      <c r="B893" s="29"/>
      <c r="C893" s="29"/>
      <c r="G893" s="13"/>
      <c r="I893" s="13"/>
    </row>
    <row r="894" spans="2:9" ht="14.25" x14ac:dyDescent="0.15">
      <c r="B894" s="29"/>
      <c r="C894" s="29"/>
      <c r="G894" s="13"/>
      <c r="I894" s="13"/>
    </row>
    <row r="895" spans="2:9" ht="14.25" x14ac:dyDescent="0.15">
      <c r="B895" s="29"/>
      <c r="C895" s="29"/>
      <c r="G895" s="13"/>
      <c r="I895" s="13"/>
    </row>
    <row r="896" spans="2:9" ht="14.25" x14ac:dyDescent="0.15">
      <c r="B896" s="29"/>
      <c r="C896" s="29"/>
      <c r="G896" s="13"/>
      <c r="I896" s="13"/>
    </row>
    <row r="897" spans="2:9" ht="14.25" x14ac:dyDescent="0.15">
      <c r="B897" s="29"/>
      <c r="C897" s="29"/>
      <c r="G897" s="13"/>
      <c r="I897" s="13"/>
    </row>
    <row r="898" spans="2:9" ht="14.25" x14ac:dyDescent="0.15">
      <c r="B898" s="29"/>
      <c r="C898" s="29"/>
      <c r="G898" s="13"/>
      <c r="I898" s="13"/>
    </row>
    <row r="899" spans="2:9" ht="14.25" x14ac:dyDescent="0.15">
      <c r="B899" s="29"/>
      <c r="C899" s="29"/>
      <c r="G899" s="13"/>
      <c r="I899" s="13"/>
    </row>
    <row r="900" spans="2:9" ht="14.25" x14ac:dyDescent="0.15">
      <c r="B900" s="29"/>
      <c r="C900" s="29"/>
      <c r="G900" s="13"/>
      <c r="I900" s="13"/>
    </row>
    <row r="901" spans="2:9" ht="14.25" x14ac:dyDescent="0.15">
      <c r="B901" s="29"/>
      <c r="C901" s="29"/>
      <c r="G901" s="13"/>
      <c r="I901" s="13"/>
    </row>
    <row r="902" spans="2:9" ht="14.25" x14ac:dyDescent="0.15">
      <c r="B902" s="29"/>
      <c r="C902" s="29"/>
      <c r="G902" s="13"/>
      <c r="I902" s="13"/>
    </row>
    <row r="903" spans="2:9" ht="14.25" x14ac:dyDescent="0.15">
      <c r="B903" s="29"/>
      <c r="C903" s="29"/>
      <c r="G903" s="13"/>
      <c r="I903" s="13"/>
    </row>
    <row r="904" spans="2:9" ht="14.25" x14ac:dyDescent="0.15">
      <c r="B904" s="29"/>
      <c r="C904" s="29"/>
      <c r="G904" s="13"/>
      <c r="I904" s="13"/>
    </row>
    <row r="905" spans="2:9" ht="14.25" x14ac:dyDescent="0.15">
      <c r="B905" s="29"/>
      <c r="C905" s="29"/>
      <c r="G905" s="13"/>
      <c r="I905" s="13"/>
    </row>
    <row r="906" spans="2:9" ht="14.25" x14ac:dyDescent="0.15">
      <c r="B906" s="29"/>
      <c r="C906" s="29"/>
      <c r="G906" s="13"/>
      <c r="I906" s="13"/>
    </row>
    <row r="907" spans="2:9" ht="14.25" x14ac:dyDescent="0.15">
      <c r="B907" s="29"/>
      <c r="C907" s="29"/>
      <c r="G907" s="13"/>
      <c r="I907" s="13"/>
    </row>
    <row r="908" spans="2:9" ht="14.25" x14ac:dyDescent="0.15">
      <c r="B908" s="29"/>
      <c r="C908" s="29"/>
      <c r="G908" s="13"/>
      <c r="I908" s="13"/>
    </row>
    <row r="909" spans="2:9" ht="14.25" x14ac:dyDescent="0.15">
      <c r="B909" s="29"/>
      <c r="C909" s="29"/>
      <c r="G909" s="13"/>
      <c r="I909" s="13"/>
    </row>
    <row r="910" spans="2:9" ht="14.25" x14ac:dyDescent="0.15">
      <c r="B910" s="29"/>
      <c r="C910" s="29"/>
      <c r="G910" s="13"/>
      <c r="I910" s="13"/>
    </row>
    <row r="911" spans="2:9" ht="14.25" x14ac:dyDescent="0.15">
      <c r="B911" s="29"/>
      <c r="C911" s="29"/>
      <c r="G911" s="13"/>
      <c r="I911" s="13"/>
    </row>
    <row r="912" spans="2:9" ht="14.25" x14ac:dyDescent="0.15">
      <c r="B912" s="29"/>
      <c r="C912" s="29"/>
      <c r="G912" s="13"/>
      <c r="I912" s="13"/>
    </row>
    <row r="913" spans="2:9" ht="14.25" x14ac:dyDescent="0.15">
      <c r="B913" s="29"/>
      <c r="C913" s="29"/>
      <c r="G913" s="13"/>
      <c r="I913" s="13"/>
    </row>
    <row r="914" spans="2:9" ht="14.25" x14ac:dyDescent="0.15">
      <c r="B914" s="29"/>
      <c r="C914" s="29"/>
      <c r="G914" s="13"/>
      <c r="I914" s="13"/>
    </row>
    <row r="915" spans="2:9" ht="14.25" x14ac:dyDescent="0.15">
      <c r="B915" s="29"/>
      <c r="C915" s="29"/>
      <c r="G915" s="13"/>
      <c r="I915" s="13"/>
    </row>
    <row r="916" spans="2:9" ht="14.25" x14ac:dyDescent="0.15">
      <c r="B916" s="29"/>
      <c r="C916" s="29"/>
      <c r="G916" s="13"/>
      <c r="I916" s="13"/>
    </row>
    <row r="917" spans="2:9" ht="14.25" x14ac:dyDescent="0.15">
      <c r="B917" s="29"/>
      <c r="C917" s="29"/>
      <c r="G917" s="13"/>
      <c r="I917" s="13"/>
    </row>
    <row r="918" spans="2:9" ht="14.25" x14ac:dyDescent="0.15">
      <c r="B918" s="29"/>
      <c r="C918" s="29"/>
      <c r="G918" s="13"/>
      <c r="I918" s="13"/>
    </row>
    <row r="919" spans="2:9" ht="14.25" x14ac:dyDescent="0.15">
      <c r="B919" s="29"/>
      <c r="C919" s="29"/>
      <c r="G919" s="13"/>
      <c r="I919" s="13"/>
    </row>
    <row r="920" spans="2:9" ht="14.25" x14ac:dyDescent="0.15">
      <c r="B920" s="29"/>
      <c r="C920" s="29"/>
      <c r="G920" s="13"/>
      <c r="I920" s="13"/>
    </row>
    <row r="921" spans="2:9" ht="14.25" x14ac:dyDescent="0.15">
      <c r="B921" s="29"/>
      <c r="C921" s="29"/>
      <c r="G921" s="13"/>
      <c r="I921" s="13"/>
    </row>
    <row r="922" spans="2:9" ht="14.25" x14ac:dyDescent="0.15">
      <c r="B922" s="29"/>
      <c r="C922" s="29"/>
      <c r="G922" s="13"/>
      <c r="I922" s="13"/>
    </row>
    <row r="923" spans="2:9" ht="14.25" x14ac:dyDescent="0.15">
      <c r="B923" s="29"/>
      <c r="C923" s="29"/>
      <c r="G923" s="13"/>
      <c r="I923" s="13"/>
    </row>
    <row r="924" spans="2:9" ht="14.25" x14ac:dyDescent="0.15">
      <c r="B924" s="29"/>
      <c r="C924" s="29"/>
      <c r="G924" s="13"/>
      <c r="I924" s="13"/>
    </row>
    <row r="925" spans="2:9" ht="14.25" x14ac:dyDescent="0.15">
      <c r="B925" s="29"/>
      <c r="C925" s="29"/>
      <c r="G925" s="13"/>
      <c r="I925" s="13"/>
    </row>
    <row r="926" spans="2:9" ht="14.25" x14ac:dyDescent="0.15">
      <c r="B926" s="29"/>
      <c r="C926" s="29"/>
      <c r="G926" s="13"/>
      <c r="I926" s="13"/>
    </row>
    <row r="927" spans="2:9" ht="14.25" x14ac:dyDescent="0.15">
      <c r="B927" s="29"/>
      <c r="C927" s="29"/>
      <c r="G927" s="13"/>
      <c r="I927" s="13"/>
    </row>
    <row r="928" spans="2:9" ht="14.25" x14ac:dyDescent="0.15">
      <c r="B928" s="29"/>
      <c r="C928" s="29"/>
      <c r="G928" s="13"/>
      <c r="I928" s="13"/>
    </row>
    <row r="929" spans="2:9" ht="14.25" x14ac:dyDescent="0.15">
      <c r="B929" s="29"/>
      <c r="C929" s="29"/>
      <c r="G929" s="13"/>
      <c r="I929" s="13"/>
    </row>
    <row r="930" spans="2:9" ht="14.25" x14ac:dyDescent="0.15">
      <c r="B930" s="29"/>
      <c r="C930" s="29"/>
      <c r="G930" s="13"/>
      <c r="I930" s="13"/>
    </row>
    <row r="931" spans="2:9" ht="14.25" x14ac:dyDescent="0.15">
      <c r="B931" s="29"/>
      <c r="C931" s="29"/>
      <c r="G931" s="13"/>
      <c r="I931" s="13"/>
    </row>
    <row r="932" spans="2:9" ht="14.25" x14ac:dyDescent="0.15">
      <c r="B932" s="29"/>
      <c r="C932" s="29"/>
      <c r="G932" s="13"/>
      <c r="I932" s="13"/>
    </row>
    <row r="933" spans="2:9" ht="14.25" x14ac:dyDescent="0.15">
      <c r="B933" s="29"/>
      <c r="C933" s="29"/>
      <c r="G933" s="13"/>
      <c r="I933" s="13"/>
    </row>
    <row r="934" spans="2:9" ht="14.25" x14ac:dyDescent="0.15">
      <c r="B934" s="29"/>
      <c r="C934" s="29"/>
      <c r="G934" s="13"/>
      <c r="I934" s="13"/>
    </row>
    <row r="935" spans="2:9" ht="14.25" x14ac:dyDescent="0.15">
      <c r="B935" s="29"/>
      <c r="C935" s="29"/>
      <c r="G935" s="13"/>
      <c r="I935" s="13"/>
    </row>
    <row r="936" spans="2:9" ht="14.25" x14ac:dyDescent="0.15">
      <c r="B936" s="29"/>
      <c r="C936" s="29"/>
      <c r="G936" s="13"/>
      <c r="I936" s="13"/>
    </row>
    <row r="937" spans="2:9" ht="14.25" x14ac:dyDescent="0.15">
      <c r="B937" s="29"/>
      <c r="C937" s="29"/>
      <c r="G937" s="13"/>
      <c r="I937" s="13"/>
    </row>
    <row r="938" spans="2:9" ht="14.25" x14ac:dyDescent="0.15">
      <c r="B938" s="29"/>
      <c r="C938" s="29"/>
      <c r="G938" s="13"/>
      <c r="I938" s="13"/>
    </row>
    <row r="939" spans="2:9" ht="14.25" x14ac:dyDescent="0.15">
      <c r="B939" s="29"/>
      <c r="C939" s="29"/>
      <c r="G939" s="13"/>
      <c r="I939" s="13"/>
    </row>
    <row r="940" spans="2:9" ht="14.25" x14ac:dyDescent="0.15">
      <c r="B940" s="29"/>
      <c r="C940" s="29"/>
      <c r="G940" s="13"/>
      <c r="I940" s="13"/>
    </row>
    <row r="941" spans="2:9" ht="14.25" x14ac:dyDescent="0.15">
      <c r="B941" s="29"/>
      <c r="C941" s="29"/>
      <c r="G941" s="13"/>
      <c r="I941" s="13"/>
    </row>
    <row r="942" spans="2:9" ht="14.25" x14ac:dyDescent="0.15">
      <c r="B942" s="29"/>
      <c r="C942" s="29"/>
      <c r="G942" s="13"/>
      <c r="I942" s="13"/>
    </row>
    <row r="943" spans="2:9" ht="14.25" x14ac:dyDescent="0.15">
      <c r="B943" s="29"/>
      <c r="C943" s="29"/>
      <c r="G943" s="13"/>
      <c r="I943" s="13"/>
    </row>
    <row r="944" spans="2:9" ht="14.25" x14ac:dyDescent="0.15">
      <c r="B944" s="29"/>
      <c r="C944" s="29"/>
      <c r="G944" s="13"/>
      <c r="I944" s="13"/>
    </row>
    <row r="945" spans="2:9" ht="14.25" x14ac:dyDescent="0.15">
      <c r="B945" s="29"/>
      <c r="C945" s="29"/>
      <c r="G945" s="13"/>
      <c r="I945" s="13"/>
    </row>
    <row r="946" spans="2:9" ht="14.25" x14ac:dyDescent="0.15">
      <c r="B946" s="29"/>
      <c r="C946" s="29"/>
      <c r="G946" s="13"/>
      <c r="I946" s="13"/>
    </row>
    <row r="947" spans="2:9" ht="14.25" x14ac:dyDescent="0.15">
      <c r="B947" s="29"/>
      <c r="C947" s="29"/>
      <c r="G947" s="13"/>
      <c r="I947" s="13"/>
    </row>
    <row r="948" spans="2:9" ht="14.25" x14ac:dyDescent="0.15">
      <c r="B948" s="29"/>
      <c r="C948" s="29"/>
      <c r="G948" s="13"/>
      <c r="I948" s="13"/>
    </row>
    <row r="949" spans="2:9" ht="14.25" x14ac:dyDescent="0.15">
      <c r="B949" s="29"/>
      <c r="C949" s="29"/>
      <c r="G949" s="13"/>
      <c r="I949" s="13"/>
    </row>
    <row r="950" spans="2:9" ht="14.25" x14ac:dyDescent="0.15">
      <c r="B950" s="29"/>
      <c r="C950" s="29"/>
      <c r="G950" s="13"/>
      <c r="I950" s="13"/>
    </row>
    <row r="951" spans="2:9" ht="14.25" x14ac:dyDescent="0.15">
      <c r="B951" s="29"/>
      <c r="C951" s="29"/>
      <c r="G951" s="13"/>
      <c r="I951" s="13"/>
    </row>
    <row r="952" spans="2:9" ht="14.25" x14ac:dyDescent="0.15">
      <c r="B952" s="29"/>
      <c r="C952" s="29"/>
      <c r="G952" s="13"/>
      <c r="I952" s="13"/>
    </row>
    <row r="953" spans="2:9" ht="14.25" x14ac:dyDescent="0.15">
      <c r="B953" s="29"/>
      <c r="C953" s="29"/>
      <c r="G953" s="13"/>
      <c r="I953" s="13"/>
    </row>
    <row r="954" spans="2:9" ht="14.25" x14ac:dyDescent="0.15">
      <c r="B954" s="29"/>
      <c r="C954" s="29"/>
      <c r="G954" s="13"/>
      <c r="I954" s="13"/>
    </row>
    <row r="955" spans="2:9" ht="14.25" x14ac:dyDescent="0.15">
      <c r="B955" s="29"/>
      <c r="C955" s="29"/>
      <c r="G955" s="13"/>
      <c r="I955" s="13"/>
    </row>
    <row r="956" spans="2:9" ht="14.25" x14ac:dyDescent="0.15">
      <c r="B956" s="29"/>
      <c r="C956" s="29"/>
      <c r="G956" s="13"/>
      <c r="I956" s="13"/>
    </row>
    <row r="957" spans="2:9" ht="14.25" x14ac:dyDescent="0.15">
      <c r="B957" s="29"/>
      <c r="C957" s="29"/>
      <c r="G957" s="13"/>
      <c r="I957" s="13"/>
    </row>
    <row r="958" spans="2:9" ht="14.25" x14ac:dyDescent="0.15">
      <c r="B958" s="29"/>
      <c r="C958" s="29"/>
      <c r="G958" s="13"/>
      <c r="I958" s="13"/>
    </row>
    <row r="959" spans="2:9" ht="14.25" x14ac:dyDescent="0.15">
      <c r="B959" s="29"/>
      <c r="C959" s="29"/>
      <c r="G959" s="13"/>
      <c r="I959" s="13"/>
    </row>
    <row r="960" spans="2:9" ht="14.25" x14ac:dyDescent="0.15">
      <c r="B960" s="29"/>
      <c r="C960" s="29"/>
      <c r="G960" s="13"/>
      <c r="I960" s="13"/>
    </row>
    <row r="961" spans="2:9" ht="14.25" x14ac:dyDescent="0.15">
      <c r="B961" s="29"/>
      <c r="C961" s="29"/>
      <c r="G961" s="13"/>
      <c r="I961" s="13"/>
    </row>
    <row r="962" spans="2:9" ht="14.25" x14ac:dyDescent="0.15">
      <c r="B962" s="29"/>
      <c r="C962" s="29"/>
      <c r="G962" s="13"/>
      <c r="I962" s="13"/>
    </row>
    <row r="963" spans="2:9" ht="14.25" x14ac:dyDescent="0.15">
      <c r="B963" s="29"/>
      <c r="C963" s="29"/>
      <c r="G963" s="13"/>
      <c r="I963" s="13"/>
    </row>
    <row r="964" spans="2:9" ht="14.25" x14ac:dyDescent="0.15">
      <c r="B964" s="29"/>
      <c r="C964" s="29"/>
      <c r="G964" s="13"/>
      <c r="I964" s="13"/>
    </row>
    <row r="965" spans="2:9" ht="14.25" x14ac:dyDescent="0.15">
      <c r="B965" s="29"/>
      <c r="C965" s="29"/>
      <c r="G965" s="13"/>
      <c r="I965" s="13"/>
    </row>
    <row r="966" spans="2:9" ht="14.25" x14ac:dyDescent="0.15">
      <c r="B966" s="29"/>
      <c r="C966" s="29"/>
      <c r="G966" s="13"/>
      <c r="I966" s="13"/>
    </row>
    <row r="967" spans="2:9" ht="14.25" x14ac:dyDescent="0.15">
      <c r="B967" s="29"/>
      <c r="C967" s="29"/>
      <c r="G967" s="13"/>
      <c r="I967" s="13"/>
    </row>
    <row r="968" spans="2:9" ht="14.25" x14ac:dyDescent="0.15">
      <c r="B968" s="29"/>
      <c r="C968" s="29"/>
      <c r="G968" s="13"/>
      <c r="I968" s="13"/>
    </row>
    <row r="969" spans="2:9" ht="14.25" x14ac:dyDescent="0.15">
      <c r="B969" s="29"/>
      <c r="C969" s="29"/>
      <c r="G969" s="13"/>
      <c r="I969" s="13"/>
    </row>
    <row r="970" spans="2:9" ht="14.25" x14ac:dyDescent="0.15">
      <c r="B970" s="29"/>
      <c r="C970" s="29"/>
      <c r="G970" s="13"/>
      <c r="I970" s="13"/>
    </row>
    <row r="971" spans="2:9" ht="14.25" x14ac:dyDescent="0.15">
      <c r="B971" s="29"/>
      <c r="C971" s="29"/>
      <c r="G971" s="13"/>
      <c r="I971" s="13"/>
    </row>
    <row r="972" spans="2:9" ht="14.25" x14ac:dyDescent="0.15">
      <c r="B972" s="29"/>
      <c r="C972" s="29"/>
      <c r="G972" s="13"/>
      <c r="I972" s="13"/>
    </row>
    <row r="973" spans="2:9" ht="14.25" x14ac:dyDescent="0.15">
      <c r="B973" s="29"/>
      <c r="C973" s="29"/>
      <c r="G973" s="13"/>
      <c r="I973" s="13"/>
    </row>
    <row r="974" spans="2:9" ht="14.25" x14ac:dyDescent="0.15">
      <c r="B974" s="29"/>
      <c r="C974" s="29"/>
      <c r="G974" s="13"/>
      <c r="I974" s="13"/>
    </row>
    <row r="975" spans="2:9" ht="14.25" x14ac:dyDescent="0.15">
      <c r="B975" s="29"/>
      <c r="C975" s="29"/>
      <c r="G975" s="13"/>
      <c r="I975" s="13"/>
    </row>
    <row r="976" spans="2:9" ht="14.25" x14ac:dyDescent="0.15">
      <c r="B976" s="29"/>
      <c r="C976" s="29"/>
      <c r="G976" s="13"/>
      <c r="I976" s="13"/>
    </row>
    <row r="977" spans="2:9" ht="14.25" x14ac:dyDescent="0.15">
      <c r="B977" s="29"/>
      <c r="C977" s="29"/>
      <c r="G977" s="13"/>
      <c r="I977" s="13"/>
    </row>
    <row r="978" spans="2:9" ht="14.25" x14ac:dyDescent="0.15">
      <c r="B978" s="29"/>
      <c r="C978" s="29"/>
      <c r="G978" s="13"/>
      <c r="I978" s="13"/>
    </row>
    <row r="979" spans="2:9" ht="14.25" x14ac:dyDescent="0.15">
      <c r="B979" s="29"/>
      <c r="C979" s="29"/>
      <c r="G979" s="13"/>
      <c r="I979" s="13"/>
    </row>
    <row r="980" spans="2:9" ht="14.25" x14ac:dyDescent="0.15">
      <c r="B980" s="29"/>
      <c r="C980" s="29"/>
      <c r="G980" s="13"/>
      <c r="I980" s="13"/>
    </row>
    <row r="981" spans="2:9" ht="14.25" x14ac:dyDescent="0.15">
      <c r="B981" s="29"/>
      <c r="C981" s="29"/>
      <c r="G981" s="13"/>
      <c r="I981" s="13"/>
    </row>
    <row r="982" spans="2:9" ht="14.25" x14ac:dyDescent="0.15">
      <c r="B982" s="29"/>
      <c r="C982" s="29"/>
      <c r="G982" s="13"/>
      <c r="I982" s="13"/>
    </row>
    <row r="983" spans="2:9" ht="14.25" x14ac:dyDescent="0.15">
      <c r="B983" s="29"/>
      <c r="C983" s="29"/>
      <c r="G983" s="13"/>
      <c r="I983" s="13"/>
    </row>
    <row r="984" spans="2:9" ht="14.25" x14ac:dyDescent="0.15">
      <c r="B984" s="29"/>
      <c r="C984" s="29"/>
      <c r="G984" s="13"/>
      <c r="I984" s="13"/>
    </row>
    <row r="985" spans="2:9" ht="14.25" x14ac:dyDescent="0.15">
      <c r="B985" s="29"/>
      <c r="C985" s="29"/>
      <c r="G985" s="13"/>
      <c r="I985" s="13"/>
    </row>
    <row r="986" spans="2:9" ht="14.25" x14ac:dyDescent="0.15">
      <c r="B986" s="29"/>
      <c r="C986" s="29"/>
      <c r="G986" s="13"/>
      <c r="I986" s="13"/>
    </row>
    <row r="987" spans="2:9" ht="14.25" x14ac:dyDescent="0.15">
      <c r="B987" s="29"/>
      <c r="C987" s="29"/>
      <c r="G987" s="13"/>
      <c r="I987" s="13"/>
    </row>
    <row r="988" spans="2:9" ht="14.25" x14ac:dyDescent="0.15">
      <c r="B988" s="29"/>
      <c r="C988" s="29"/>
      <c r="G988" s="13"/>
      <c r="I988" s="13"/>
    </row>
    <row r="989" spans="2:9" ht="14.25" x14ac:dyDescent="0.15">
      <c r="B989" s="29"/>
      <c r="C989" s="29"/>
      <c r="G989" s="13"/>
      <c r="I989" s="13"/>
    </row>
    <row r="990" spans="2:9" ht="14.25" x14ac:dyDescent="0.15">
      <c r="B990" s="29"/>
      <c r="C990" s="29"/>
      <c r="G990" s="13"/>
      <c r="I990" s="13"/>
    </row>
    <row r="991" spans="2:9" ht="14.25" x14ac:dyDescent="0.15">
      <c r="B991" s="29"/>
      <c r="C991" s="29"/>
      <c r="G991" s="13"/>
      <c r="I991" s="13"/>
    </row>
    <row r="992" spans="2:9" ht="14.25" x14ac:dyDescent="0.15">
      <c r="B992" s="29"/>
      <c r="C992" s="29"/>
      <c r="G992" s="13"/>
      <c r="I992" s="13"/>
    </row>
    <row r="993" spans="2:9" ht="14.25" x14ac:dyDescent="0.15">
      <c r="B993" s="29"/>
      <c r="C993" s="29"/>
      <c r="G993" s="13"/>
      <c r="I993" s="13"/>
    </row>
    <row r="994" spans="2:9" ht="14.25" x14ac:dyDescent="0.15">
      <c r="B994" s="29"/>
      <c r="C994" s="29"/>
      <c r="G994" s="13"/>
      <c r="I994" s="13"/>
    </row>
    <row r="995" spans="2:9" ht="14.25" x14ac:dyDescent="0.15">
      <c r="B995" s="29"/>
      <c r="C995" s="29"/>
      <c r="G995" s="13"/>
      <c r="I995" s="13"/>
    </row>
    <row r="996" spans="2:9" ht="14.25" x14ac:dyDescent="0.15">
      <c r="B996" s="29"/>
      <c r="C996" s="29"/>
      <c r="G996" s="13"/>
      <c r="I996" s="13"/>
    </row>
    <row r="997" spans="2:9" ht="14.25" x14ac:dyDescent="0.15">
      <c r="B997" s="29"/>
      <c r="C997" s="29"/>
      <c r="G997" s="13"/>
      <c r="I997" s="13"/>
    </row>
    <row r="998" spans="2:9" ht="14.25" x14ac:dyDescent="0.15">
      <c r="B998" s="29"/>
      <c r="C998" s="29"/>
      <c r="G998" s="13"/>
      <c r="I998" s="13"/>
    </row>
    <row r="999" spans="2:9" ht="14.25" x14ac:dyDescent="0.15">
      <c r="B999" s="29"/>
      <c r="C999" s="29"/>
      <c r="G999" s="13"/>
      <c r="I999" s="13"/>
    </row>
    <row r="1000" spans="2:9" ht="14.25" x14ac:dyDescent="0.15">
      <c r="B1000" s="29"/>
      <c r="C1000" s="29"/>
      <c r="G1000" s="13"/>
      <c r="I1000" s="13"/>
    </row>
    <row r="1001" spans="2:9" ht="14.25" x14ac:dyDescent="0.15">
      <c r="B1001" s="29"/>
      <c r="C1001" s="29"/>
      <c r="G1001" s="13"/>
      <c r="I1001" s="13"/>
    </row>
    <row r="1002" spans="2:9" ht="14.25" x14ac:dyDescent="0.15">
      <c r="B1002" s="29"/>
      <c r="C1002" s="29"/>
      <c r="G1002" s="13"/>
      <c r="I1002" s="13"/>
    </row>
    <row r="1003" spans="2:9" ht="14.25" x14ac:dyDescent="0.15">
      <c r="B1003" s="29"/>
      <c r="C1003" s="29"/>
      <c r="G1003" s="13"/>
      <c r="I1003" s="13"/>
    </row>
    <row r="1004" spans="2:9" ht="14.25" x14ac:dyDescent="0.15">
      <c r="B1004" s="29"/>
      <c r="C1004" s="29"/>
      <c r="G1004" s="13"/>
      <c r="I1004" s="13"/>
    </row>
    <row r="1005" spans="2:9" ht="14.25" x14ac:dyDescent="0.15">
      <c r="B1005" s="29"/>
      <c r="C1005" s="29"/>
      <c r="G1005" s="13"/>
      <c r="I1005" s="13"/>
    </row>
    <row r="1006" spans="2:9" ht="14.25" x14ac:dyDescent="0.15">
      <c r="B1006" s="29"/>
      <c r="C1006" s="29"/>
      <c r="G1006" s="13"/>
      <c r="I1006" s="13"/>
    </row>
    <row r="1007" spans="2:9" ht="14.25" x14ac:dyDescent="0.15">
      <c r="B1007" s="29"/>
      <c r="C1007" s="29"/>
      <c r="G1007" s="13"/>
      <c r="I1007" s="13"/>
    </row>
    <row r="1008" spans="2:9" ht="14.25" x14ac:dyDescent="0.15">
      <c r="B1008" s="29"/>
      <c r="C1008" s="29"/>
      <c r="G1008" s="13"/>
      <c r="I1008" s="13"/>
    </row>
    <row r="1009" spans="2:9" ht="14.25" x14ac:dyDescent="0.15">
      <c r="B1009" s="29"/>
      <c r="C1009" s="29"/>
      <c r="G1009" s="13"/>
      <c r="I1009" s="13"/>
    </row>
    <row r="1010" spans="2:9" ht="14.25" x14ac:dyDescent="0.15">
      <c r="B1010" s="29"/>
      <c r="C1010" s="29"/>
      <c r="G1010" s="13"/>
      <c r="I1010" s="13"/>
    </row>
    <row r="1011" spans="2:9" ht="14.25" x14ac:dyDescent="0.15">
      <c r="B1011" s="29"/>
      <c r="C1011" s="29"/>
      <c r="G1011" s="13"/>
      <c r="I1011" s="13"/>
    </row>
    <row r="1012" spans="2:9" ht="14.25" x14ac:dyDescent="0.15">
      <c r="B1012" s="29"/>
      <c r="C1012" s="29"/>
      <c r="G1012" s="13"/>
      <c r="I1012" s="13"/>
    </row>
    <row r="1013" spans="2:9" ht="14.25" x14ac:dyDescent="0.15">
      <c r="B1013" s="29"/>
      <c r="C1013" s="29"/>
      <c r="G1013" s="13"/>
      <c r="I1013" s="13"/>
    </row>
    <row r="1014" spans="2:9" ht="14.25" x14ac:dyDescent="0.15">
      <c r="B1014" s="29"/>
      <c r="C1014" s="29"/>
      <c r="G1014" s="13"/>
      <c r="I1014" s="13"/>
    </row>
    <row r="1015" spans="2:9" ht="14.25" x14ac:dyDescent="0.15">
      <c r="B1015" s="29"/>
      <c r="C1015" s="29"/>
      <c r="G1015" s="13"/>
      <c r="I1015" s="13"/>
    </row>
    <row r="1016" spans="2:9" ht="14.25" x14ac:dyDescent="0.15">
      <c r="B1016" s="29"/>
      <c r="C1016" s="29"/>
      <c r="G1016" s="13"/>
      <c r="I1016" s="13"/>
    </row>
    <row r="1017" spans="2:9" ht="14.25" x14ac:dyDescent="0.15">
      <c r="B1017" s="29"/>
      <c r="C1017" s="29"/>
      <c r="G1017" s="13"/>
      <c r="I1017" s="13"/>
    </row>
    <row r="1018" spans="2:9" ht="14.25" x14ac:dyDescent="0.15">
      <c r="B1018" s="29"/>
      <c r="C1018" s="29"/>
      <c r="G1018" s="13"/>
      <c r="I1018" s="13"/>
    </row>
    <row r="1019" spans="2:9" ht="14.25" x14ac:dyDescent="0.15">
      <c r="B1019" s="29"/>
      <c r="C1019" s="29"/>
      <c r="G1019" s="13"/>
      <c r="I1019" s="13"/>
    </row>
    <row r="1020" spans="2:9" ht="14.25" x14ac:dyDescent="0.15">
      <c r="B1020" s="29"/>
      <c r="C1020" s="29"/>
      <c r="G1020" s="13"/>
      <c r="I1020" s="13"/>
    </row>
    <row r="1021" spans="2:9" ht="14.25" x14ac:dyDescent="0.15">
      <c r="B1021" s="29"/>
      <c r="C1021" s="29"/>
      <c r="G1021" s="13"/>
      <c r="I1021" s="13"/>
    </row>
    <row r="1022" spans="2:9" ht="14.25" x14ac:dyDescent="0.15">
      <c r="B1022" s="29"/>
      <c r="C1022" s="29"/>
      <c r="G1022" s="13"/>
      <c r="I1022" s="13"/>
    </row>
    <row r="1023" spans="2:9" ht="14.25" x14ac:dyDescent="0.15">
      <c r="B1023" s="29"/>
      <c r="C1023" s="29"/>
      <c r="G1023" s="13"/>
      <c r="I1023" s="13"/>
    </row>
    <row r="1024" spans="2:9" ht="14.25" x14ac:dyDescent="0.15">
      <c r="B1024" s="29"/>
      <c r="C1024" s="29"/>
      <c r="G1024" s="13"/>
      <c r="I1024" s="13"/>
    </row>
    <row r="1025" spans="2:9" ht="14.25" x14ac:dyDescent="0.15">
      <c r="B1025" s="29"/>
      <c r="C1025" s="29"/>
      <c r="G1025" s="13"/>
      <c r="I1025" s="13"/>
    </row>
    <row r="1026" spans="2:9" ht="14.25" x14ac:dyDescent="0.15">
      <c r="B1026" s="29"/>
      <c r="C1026" s="29"/>
      <c r="G1026" s="13"/>
      <c r="I1026" s="13"/>
    </row>
    <row r="1027" spans="2:9" ht="14.25" x14ac:dyDescent="0.15">
      <c r="B1027" s="29"/>
      <c r="C1027" s="29"/>
      <c r="G1027" s="13"/>
      <c r="I1027" s="13"/>
    </row>
    <row r="1028" spans="2:9" ht="14.25" x14ac:dyDescent="0.15">
      <c r="B1028" s="29"/>
      <c r="C1028" s="29"/>
      <c r="G1028" s="13"/>
      <c r="I1028" s="13"/>
    </row>
    <row r="1029" spans="2:9" ht="14.25" x14ac:dyDescent="0.15">
      <c r="B1029" s="29"/>
      <c r="C1029" s="29"/>
      <c r="G1029" s="13"/>
      <c r="I1029" s="13"/>
    </row>
    <row r="1030" spans="2:9" ht="14.25" x14ac:dyDescent="0.15">
      <c r="B1030" s="29"/>
      <c r="C1030" s="29"/>
      <c r="G1030" s="13"/>
      <c r="I1030" s="13"/>
    </row>
    <row r="1031" spans="2:9" ht="14.25" x14ac:dyDescent="0.15">
      <c r="B1031" s="29"/>
      <c r="C1031" s="29"/>
      <c r="G1031" s="13"/>
      <c r="I1031" s="13"/>
    </row>
    <row r="1032" spans="2:9" ht="14.25" x14ac:dyDescent="0.15">
      <c r="B1032" s="29"/>
      <c r="C1032" s="29"/>
      <c r="G1032" s="13"/>
      <c r="I1032" s="13"/>
    </row>
    <row r="1033" spans="2:9" ht="14.25" x14ac:dyDescent="0.15">
      <c r="B1033" s="29"/>
      <c r="C1033" s="29"/>
      <c r="G1033" s="13"/>
      <c r="I1033" s="13"/>
    </row>
    <row r="1034" spans="2:9" ht="14.25" x14ac:dyDescent="0.15">
      <c r="B1034" s="29"/>
      <c r="C1034" s="29"/>
      <c r="G1034" s="13"/>
      <c r="I1034" s="13"/>
    </row>
    <row r="1035" spans="2:9" ht="14.25" x14ac:dyDescent="0.15">
      <c r="B1035" s="29"/>
      <c r="C1035" s="29"/>
      <c r="G1035" s="13"/>
      <c r="I1035" s="13"/>
    </row>
    <row r="1036" spans="2:9" ht="14.25" x14ac:dyDescent="0.15">
      <c r="B1036" s="29"/>
      <c r="C1036" s="29"/>
      <c r="G1036" s="13"/>
      <c r="I1036" s="13"/>
    </row>
    <row r="1037" spans="2:9" ht="14.25" x14ac:dyDescent="0.15">
      <c r="B1037" s="29"/>
      <c r="C1037" s="29"/>
      <c r="G1037" s="13"/>
      <c r="I1037" s="13"/>
    </row>
    <row r="1038" spans="2:9" ht="14.25" x14ac:dyDescent="0.15">
      <c r="B1038" s="29"/>
      <c r="C1038" s="29"/>
      <c r="G1038" s="13"/>
      <c r="I1038" s="13"/>
    </row>
    <row r="1039" spans="2:9" ht="14.25" x14ac:dyDescent="0.15">
      <c r="B1039" s="29"/>
      <c r="C1039" s="29"/>
      <c r="G1039" s="13"/>
      <c r="I1039" s="13"/>
    </row>
    <row r="1040" spans="2:9" ht="14.25" x14ac:dyDescent="0.15">
      <c r="B1040" s="29"/>
      <c r="C1040" s="29"/>
      <c r="G1040" s="13"/>
      <c r="I1040" s="13"/>
    </row>
    <row r="1041" spans="2:9" ht="14.25" x14ac:dyDescent="0.15">
      <c r="B1041" s="29"/>
      <c r="C1041" s="29"/>
      <c r="G1041" s="13"/>
      <c r="I1041" s="13"/>
    </row>
    <row r="1042" spans="2:9" ht="14.25" x14ac:dyDescent="0.15">
      <c r="B1042" s="29"/>
      <c r="C1042" s="29"/>
      <c r="G1042" s="13"/>
      <c r="I1042" s="13"/>
    </row>
    <row r="1043" spans="2:9" ht="14.25" x14ac:dyDescent="0.15">
      <c r="B1043" s="29"/>
      <c r="C1043" s="29"/>
      <c r="G1043" s="13"/>
      <c r="I1043" s="13"/>
    </row>
    <row r="1044" spans="2:9" ht="14.25" x14ac:dyDescent="0.15">
      <c r="B1044" s="29"/>
      <c r="C1044" s="29"/>
      <c r="G1044" s="13"/>
      <c r="I1044" s="13"/>
    </row>
    <row r="1045" spans="2:9" ht="14.25" x14ac:dyDescent="0.15">
      <c r="B1045" s="29"/>
      <c r="C1045" s="29"/>
      <c r="G1045" s="13"/>
      <c r="I1045" s="13"/>
    </row>
    <row r="1046" spans="2:9" ht="14.25" x14ac:dyDescent="0.15">
      <c r="B1046" s="29"/>
      <c r="C1046" s="29"/>
      <c r="G1046" s="13"/>
      <c r="I1046" s="13"/>
    </row>
    <row r="1047" spans="2:9" ht="14.25" x14ac:dyDescent="0.15">
      <c r="B1047" s="29"/>
      <c r="C1047" s="29"/>
      <c r="G1047" s="13"/>
      <c r="I1047" s="13"/>
    </row>
    <row r="1048" spans="2:9" ht="14.25" x14ac:dyDescent="0.15">
      <c r="B1048" s="29"/>
      <c r="C1048" s="29"/>
      <c r="G1048" s="13"/>
      <c r="I1048" s="13"/>
    </row>
    <row r="1049" spans="2:9" ht="14.25" x14ac:dyDescent="0.15">
      <c r="B1049" s="29"/>
      <c r="C1049" s="29"/>
      <c r="G1049" s="13"/>
      <c r="I1049" s="13"/>
    </row>
    <row r="1050" spans="2:9" ht="14.25" x14ac:dyDescent="0.15">
      <c r="B1050" s="29"/>
      <c r="C1050" s="29"/>
      <c r="G1050" s="13"/>
      <c r="I1050" s="13"/>
    </row>
    <row r="1051" spans="2:9" ht="14.25" x14ac:dyDescent="0.15">
      <c r="B1051" s="29"/>
      <c r="C1051" s="29"/>
      <c r="G1051" s="13"/>
      <c r="I1051" s="13"/>
    </row>
    <row r="1052" spans="2:9" ht="14.25" x14ac:dyDescent="0.15">
      <c r="B1052" s="29"/>
      <c r="C1052" s="29"/>
      <c r="G1052" s="13"/>
      <c r="I1052" s="13"/>
    </row>
    <row r="1053" spans="2:9" ht="14.25" x14ac:dyDescent="0.15">
      <c r="B1053" s="29"/>
      <c r="C1053" s="29"/>
      <c r="G1053" s="13"/>
      <c r="I1053" s="13"/>
    </row>
    <row r="1054" spans="2:9" ht="14.25" x14ac:dyDescent="0.15">
      <c r="B1054" s="29"/>
      <c r="C1054" s="29"/>
      <c r="G1054" s="13"/>
      <c r="I1054" s="13"/>
    </row>
    <row r="1055" spans="2:9" ht="14.25" x14ac:dyDescent="0.15">
      <c r="B1055" s="29"/>
      <c r="C1055" s="29"/>
      <c r="G1055" s="13"/>
      <c r="I1055" s="13"/>
    </row>
    <row r="1056" spans="2:9" ht="14.25" x14ac:dyDescent="0.15">
      <c r="B1056" s="29"/>
      <c r="C1056" s="29"/>
      <c r="G1056" s="13"/>
      <c r="I1056" s="13"/>
    </row>
    <row r="1057" spans="2:9" ht="14.25" x14ac:dyDescent="0.15">
      <c r="B1057" s="29"/>
      <c r="C1057" s="29"/>
      <c r="G1057" s="13"/>
      <c r="I1057" s="13"/>
    </row>
    <row r="1058" spans="2:9" ht="14.25" x14ac:dyDescent="0.15">
      <c r="B1058" s="29"/>
      <c r="C1058" s="29"/>
      <c r="G1058" s="13"/>
      <c r="I1058" s="13"/>
    </row>
    <row r="1059" spans="2:9" ht="14.25" x14ac:dyDescent="0.15">
      <c r="B1059" s="29"/>
      <c r="C1059" s="29"/>
      <c r="G1059" s="13"/>
      <c r="I1059" s="13"/>
    </row>
    <row r="1060" spans="2:9" ht="14.25" x14ac:dyDescent="0.15">
      <c r="B1060" s="29"/>
      <c r="C1060" s="29"/>
      <c r="G1060" s="13"/>
      <c r="I1060" s="13"/>
    </row>
    <row r="1061" spans="2:9" ht="14.25" x14ac:dyDescent="0.15">
      <c r="B1061" s="29"/>
      <c r="C1061" s="29"/>
      <c r="G1061" s="13"/>
      <c r="I1061" s="13"/>
    </row>
    <row r="1062" spans="2:9" ht="14.25" x14ac:dyDescent="0.15">
      <c r="B1062" s="29"/>
      <c r="C1062" s="29"/>
      <c r="G1062" s="13"/>
      <c r="I1062" s="13"/>
    </row>
    <row r="1063" spans="2:9" ht="14.25" x14ac:dyDescent="0.15">
      <c r="B1063" s="29"/>
      <c r="C1063" s="29"/>
      <c r="G1063" s="13"/>
      <c r="I1063" s="13"/>
    </row>
    <row r="1064" spans="2:9" ht="14.25" x14ac:dyDescent="0.15">
      <c r="B1064" s="29"/>
      <c r="C1064" s="29"/>
      <c r="G1064" s="13"/>
      <c r="I1064" s="13"/>
    </row>
    <row r="1065" spans="2:9" ht="14.25" x14ac:dyDescent="0.15">
      <c r="B1065" s="29"/>
      <c r="C1065" s="29"/>
      <c r="G1065" s="13"/>
      <c r="I1065" s="13"/>
    </row>
    <row r="1066" spans="2:9" ht="14.25" x14ac:dyDescent="0.15">
      <c r="B1066" s="29"/>
      <c r="C1066" s="29"/>
      <c r="G1066" s="13"/>
      <c r="I1066" s="13"/>
    </row>
    <row r="1067" spans="2:9" ht="14.25" x14ac:dyDescent="0.15">
      <c r="B1067" s="29"/>
      <c r="C1067" s="29"/>
      <c r="G1067" s="13"/>
      <c r="I1067" s="13"/>
    </row>
    <row r="1068" spans="2:9" ht="14.25" x14ac:dyDescent="0.15">
      <c r="B1068" s="29"/>
      <c r="C1068" s="29"/>
      <c r="G1068" s="13"/>
      <c r="I1068" s="13"/>
    </row>
    <row r="1069" spans="2:9" ht="14.25" x14ac:dyDescent="0.15">
      <c r="B1069" s="29"/>
      <c r="C1069" s="29"/>
      <c r="G1069" s="13"/>
      <c r="I1069" s="13"/>
    </row>
    <row r="1070" spans="2:9" ht="14.25" x14ac:dyDescent="0.15">
      <c r="B1070" s="29"/>
      <c r="C1070" s="29"/>
      <c r="G1070" s="13"/>
      <c r="I1070" s="13"/>
    </row>
    <row r="1071" spans="2:9" ht="14.25" x14ac:dyDescent="0.15">
      <c r="B1071" s="29"/>
      <c r="C1071" s="29"/>
      <c r="G1071" s="13"/>
      <c r="I1071" s="13"/>
    </row>
    <row r="1072" spans="2:9" ht="14.25" x14ac:dyDescent="0.15">
      <c r="B1072" s="29"/>
      <c r="C1072" s="29"/>
      <c r="G1072" s="13"/>
      <c r="I1072" s="13"/>
    </row>
    <row r="1073" spans="2:9" ht="14.25" x14ac:dyDescent="0.15">
      <c r="B1073" s="29"/>
      <c r="C1073" s="29"/>
      <c r="G1073" s="13"/>
      <c r="I1073" s="13"/>
    </row>
    <row r="1074" spans="2:9" ht="14.25" x14ac:dyDescent="0.15">
      <c r="B1074" s="29"/>
      <c r="C1074" s="29"/>
      <c r="G1074" s="13"/>
      <c r="I1074" s="13"/>
    </row>
    <row r="1075" spans="2:9" ht="14.25" x14ac:dyDescent="0.15">
      <c r="B1075" s="29"/>
      <c r="C1075" s="29"/>
      <c r="G1075" s="13"/>
      <c r="I1075" s="13"/>
    </row>
    <row r="1076" spans="2:9" ht="14.25" x14ac:dyDescent="0.15">
      <c r="B1076" s="29"/>
      <c r="C1076" s="29"/>
      <c r="G1076" s="13"/>
      <c r="I1076" s="13"/>
    </row>
    <row r="1077" spans="2:9" ht="14.25" x14ac:dyDescent="0.15">
      <c r="B1077" s="29"/>
      <c r="C1077" s="29"/>
      <c r="G1077" s="13"/>
      <c r="I1077" s="13"/>
    </row>
    <row r="1078" spans="2:9" ht="14.25" x14ac:dyDescent="0.15">
      <c r="B1078" s="29"/>
      <c r="C1078" s="29"/>
      <c r="G1078" s="13"/>
      <c r="I1078" s="13"/>
    </row>
    <row r="1079" spans="2:9" ht="14.25" x14ac:dyDescent="0.15">
      <c r="B1079" s="29"/>
      <c r="C1079" s="29"/>
      <c r="G1079" s="13"/>
      <c r="I1079" s="13"/>
    </row>
    <row r="1080" spans="2:9" ht="14.25" x14ac:dyDescent="0.15">
      <c r="B1080" s="29"/>
      <c r="C1080" s="29"/>
      <c r="G1080" s="13"/>
      <c r="I1080" s="13"/>
    </row>
    <row r="1081" spans="2:9" ht="14.25" x14ac:dyDescent="0.15">
      <c r="B1081" s="29"/>
      <c r="C1081" s="29"/>
      <c r="G1081" s="13"/>
      <c r="I1081" s="13"/>
    </row>
    <row r="1082" spans="2:9" ht="14.25" x14ac:dyDescent="0.15">
      <c r="B1082" s="29"/>
      <c r="C1082" s="29"/>
      <c r="G1082" s="13"/>
      <c r="I1082" s="13"/>
    </row>
    <row r="1083" spans="2:9" ht="14.25" x14ac:dyDescent="0.15">
      <c r="B1083" s="29"/>
      <c r="C1083" s="29"/>
      <c r="G1083" s="13"/>
      <c r="I1083" s="13"/>
    </row>
    <row r="1084" spans="2:9" ht="14.25" x14ac:dyDescent="0.15">
      <c r="B1084" s="29"/>
      <c r="C1084" s="29"/>
      <c r="G1084" s="13"/>
      <c r="I1084" s="13"/>
    </row>
    <row r="1085" spans="2:9" ht="14.25" x14ac:dyDescent="0.15">
      <c r="B1085" s="29"/>
      <c r="C1085" s="29"/>
      <c r="G1085" s="13"/>
      <c r="I1085" s="13"/>
    </row>
    <row r="1086" spans="2:9" ht="14.25" x14ac:dyDescent="0.15">
      <c r="B1086" s="29"/>
      <c r="C1086" s="29"/>
      <c r="G1086" s="13"/>
      <c r="I1086" s="13"/>
    </row>
    <row r="1087" spans="2:9" ht="14.25" x14ac:dyDescent="0.15">
      <c r="B1087" s="29"/>
      <c r="C1087" s="29"/>
      <c r="G1087" s="13"/>
      <c r="I1087" s="13"/>
    </row>
    <row r="1088" spans="2:9" ht="14.25" x14ac:dyDescent="0.15">
      <c r="B1088" s="29"/>
      <c r="C1088" s="29"/>
      <c r="G1088" s="13"/>
      <c r="I1088" s="13"/>
    </row>
    <row r="1089" spans="2:9" ht="14.25" x14ac:dyDescent="0.15">
      <c r="B1089" s="29"/>
      <c r="C1089" s="29"/>
      <c r="G1089" s="13"/>
      <c r="I1089" s="13"/>
    </row>
    <row r="1090" spans="2:9" ht="14.25" x14ac:dyDescent="0.15">
      <c r="B1090" s="29"/>
      <c r="C1090" s="29"/>
      <c r="G1090" s="13"/>
      <c r="I1090" s="13"/>
    </row>
    <row r="1091" spans="2:9" ht="14.25" x14ac:dyDescent="0.15">
      <c r="B1091" s="29"/>
      <c r="C1091" s="29"/>
      <c r="G1091" s="13"/>
      <c r="I1091" s="13"/>
    </row>
    <row r="1092" spans="2:9" ht="14.25" x14ac:dyDescent="0.15">
      <c r="B1092" s="29"/>
      <c r="C1092" s="29"/>
      <c r="G1092" s="13"/>
      <c r="I1092" s="13"/>
    </row>
    <row r="1093" spans="2:9" ht="14.25" x14ac:dyDescent="0.15">
      <c r="B1093" s="29"/>
      <c r="C1093" s="29"/>
      <c r="G1093" s="13"/>
      <c r="I1093" s="13"/>
    </row>
    <row r="1094" spans="2:9" ht="14.25" x14ac:dyDescent="0.15">
      <c r="B1094" s="29"/>
      <c r="C1094" s="29"/>
      <c r="G1094" s="13"/>
      <c r="I1094" s="13"/>
    </row>
    <row r="1095" spans="2:9" ht="14.25" x14ac:dyDescent="0.15">
      <c r="B1095" s="29"/>
      <c r="C1095" s="29"/>
      <c r="G1095" s="13"/>
      <c r="I1095" s="13"/>
    </row>
    <row r="1096" spans="2:9" ht="14.25" x14ac:dyDescent="0.15">
      <c r="B1096" s="29"/>
      <c r="C1096" s="29"/>
      <c r="G1096" s="13"/>
      <c r="I1096" s="13"/>
    </row>
    <row r="1097" spans="2:9" ht="14.25" x14ac:dyDescent="0.15">
      <c r="B1097" s="29"/>
      <c r="C1097" s="29"/>
      <c r="G1097" s="13"/>
      <c r="I1097" s="13"/>
    </row>
    <row r="1098" spans="2:9" ht="14.25" x14ac:dyDescent="0.15">
      <c r="B1098" s="29"/>
      <c r="C1098" s="29"/>
      <c r="G1098" s="13"/>
      <c r="I1098" s="13"/>
    </row>
    <row r="1099" spans="2:9" ht="14.25" x14ac:dyDescent="0.15">
      <c r="B1099" s="29"/>
      <c r="C1099" s="29"/>
      <c r="G1099" s="13"/>
      <c r="I1099" s="13"/>
    </row>
    <row r="1100" spans="2:9" ht="14.25" x14ac:dyDescent="0.15">
      <c r="B1100" s="29"/>
      <c r="C1100" s="29"/>
      <c r="G1100" s="13"/>
      <c r="I1100" s="13"/>
    </row>
    <row r="1101" spans="2:9" ht="14.25" x14ac:dyDescent="0.15">
      <c r="B1101" s="29"/>
      <c r="C1101" s="29"/>
      <c r="G1101" s="13"/>
      <c r="I1101" s="13"/>
    </row>
    <row r="1102" spans="2:9" ht="14.25" x14ac:dyDescent="0.15">
      <c r="B1102" s="29"/>
      <c r="C1102" s="29"/>
      <c r="G1102" s="13"/>
      <c r="I1102" s="13"/>
    </row>
    <row r="1103" spans="2:9" ht="14.25" x14ac:dyDescent="0.15">
      <c r="B1103" s="29"/>
      <c r="C1103" s="29"/>
      <c r="G1103" s="13"/>
      <c r="I1103" s="13"/>
    </row>
    <row r="1104" spans="2:9" ht="14.25" x14ac:dyDescent="0.15">
      <c r="B1104" s="29"/>
      <c r="C1104" s="29"/>
      <c r="G1104" s="13"/>
      <c r="I1104" s="13"/>
    </row>
    <row r="1105" spans="2:9" ht="14.25" x14ac:dyDescent="0.15">
      <c r="B1105" s="29"/>
      <c r="C1105" s="29"/>
      <c r="G1105" s="13"/>
      <c r="I1105" s="13"/>
    </row>
    <row r="1106" spans="2:9" ht="14.25" x14ac:dyDescent="0.15">
      <c r="B1106" s="29"/>
      <c r="C1106" s="29"/>
      <c r="G1106" s="13"/>
      <c r="I1106" s="13"/>
    </row>
    <row r="1107" spans="2:9" ht="14.25" x14ac:dyDescent="0.15">
      <c r="B1107" s="29"/>
      <c r="C1107" s="29"/>
      <c r="G1107" s="13"/>
      <c r="I1107" s="13"/>
    </row>
    <row r="1108" spans="2:9" ht="14.25" x14ac:dyDescent="0.15">
      <c r="B1108" s="29"/>
      <c r="C1108" s="29"/>
      <c r="G1108" s="13"/>
      <c r="I1108" s="13"/>
    </row>
    <row r="1109" spans="2:9" ht="14.25" x14ac:dyDescent="0.15">
      <c r="B1109" s="29"/>
      <c r="C1109" s="29"/>
      <c r="G1109" s="13"/>
      <c r="I1109" s="13"/>
    </row>
    <row r="1110" spans="2:9" ht="14.25" x14ac:dyDescent="0.15">
      <c r="B1110" s="29"/>
      <c r="C1110" s="29"/>
      <c r="G1110" s="13"/>
      <c r="I1110" s="13"/>
    </row>
    <row r="1111" spans="2:9" ht="14.25" x14ac:dyDescent="0.15">
      <c r="B1111" s="29"/>
      <c r="C1111" s="29"/>
      <c r="G1111" s="13"/>
      <c r="I1111" s="13"/>
    </row>
    <row r="1112" spans="2:9" ht="14.25" x14ac:dyDescent="0.15">
      <c r="B1112" s="29"/>
      <c r="C1112" s="29"/>
      <c r="G1112" s="13"/>
      <c r="I1112" s="13"/>
    </row>
    <row r="1113" spans="2:9" ht="14.25" x14ac:dyDescent="0.15">
      <c r="B1113" s="29"/>
      <c r="C1113" s="29"/>
      <c r="G1113" s="13"/>
      <c r="I1113" s="13"/>
    </row>
    <row r="1114" spans="2:9" ht="14.25" x14ac:dyDescent="0.15">
      <c r="B1114" s="29"/>
      <c r="C1114" s="29"/>
      <c r="G1114" s="13"/>
      <c r="I1114" s="13"/>
    </row>
    <row r="1115" spans="2:9" ht="14.25" x14ac:dyDescent="0.15">
      <c r="B1115" s="29"/>
      <c r="C1115" s="29"/>
      <c r="G1115" s="13"/>
      <c r="I1115" s="13"/>
    </row>
    <row r="1116" spans="2:9" ht="14.25" x14ac:dyDescent="0.15">
      <c r="B1116" s="29"/>
      <c r="C1116" s="29"/>
      <c r="G1116" s="13"/>
      <c r="I1116" s="13"/>
    </row>
    <row r="1117" spans="2:9" ht="14.25" x14ac:dyDescent="0.15">
      <c r="B1117" s="29"/>
      <c r="C1117" s="29"/>
      <c r="G1117" s="13"/>
      <c r="I1117" s="13"/>
    </row>
    <row r="1118" spans="2:9" ht="14.25" x14ac:dyDescent="0.15">
      <c r="B1118" s="29"/>
      <c r="C1118" s="29"/>
      <c r="G1118" s="13"/>
      <c r="I1118" s="13"/>
    </row>
    <row r="1119" spans="2:9" ht="14.25" x14ac:dyDescent="0.15">
      <c r="B1119" s="29"/>
      <c r="C1119" s="29"/>
      <c r="G1119" s="13"/>
      <c r="I1119" s="13"/>
    </row>
    <row r="1120" spans="2:9" ht="14.25" x14ac:dyDescent="0.15">
      <c r="B1120" s="29"/>
      <c r="C1120" s="29"/>
      <c r="G1120" s="13"/>
      <c r="I1120" s="13"/>
    </row>
    <row r="1121" spans="2:9" ht="14.25" x14ac:dyDescent="0.15">
      <c r="B1121" s="29"/>
      <c r="C1121" s="29"/>
      <c r="G1121" s="13"/>
      <c r="I1121" s="13"/>
    </row>
    <row r="1122" spans="2:9" ht="14.25" x14ac:dyDescent="0.15">
      <c r="B1122" s="29"/>
      <c r="C1122" s="29"/>
      <c r="G1122" s="13"/>
      <c r="I1122" s="13"/>
    </row>
    <row r="1123" spans="2:9" ht="14.25" x14ac:dyDescent="0.15">
      <c r="B1123" s="29"/>
      <c r="C1123" s="29"/>
      <c r="G1123" s="13"/>
      <c r="I1123" s="13"/>
    </row>
    <row r="1124" spans="2:9" ht="14.25" x14ac:dyDescent="0.15">
      <c r="B1124" s="29"/>
      <c r="C1124" s="29"/>
      <c r="G1124" s="13"/>
      <c r="I1124" s="13"/>
    </row>
    <row r="1125" spans="2:9" ht="14.25" x14ac:dyDescent="0.15">
      <c r="B1125" s="29"/>
      <c r="C1125" s="29"/>
      <c r="G1125" s="13"/>
      <c r="I1125" s="13"/>
    </row>
    <row r="1126" spans="2:9" ht="14.25" x14ac:dyDescent="0.15">
      <c r="B1126" s="29"/>
      <c r="C1126" s="29"/>
      <c r="G1126" s="13"/>
      <c r="I1126" s="13"/>
    </row>
    <row r="1127" spans="2:9" ht="14.25" x14ac:dyDescent="0.15">
      <c r="B1127" s="29"/>
      <c r="C1127" s="29"/>
      <c r="G1127" s="13"/>
      <c r="I1127" s="13"/>
    </row>
    <row r="1128" spans="2:9" ht="14.25" x14ac:dyDescent="0.15">
      <c r="B1128" s="29"/>
      <c r="C1128" s="29"/>
      <c r="G1128" s="13"/>
      <c r="I1128" s="13"/>
    </row>
    <row r="1129" spans="2:9" ht="14.25" x14ac:dyDescent="0.15">
      <c r="B1129" s="29"/>
      <c r="C1129" s="29"/>
      <c r="G1129" s="13"/>
      <c r="I1129" s="13"/>
    </row>
    <row r="1130" spans="2:9" ht="14.25" x14ac:dyDescent="0.15">
      <c r="B1130" s="29"/>
      <c r="C1130" s="29"/>
      <c r="G1130" s="13"/>
      <c r="I1130" s="13"/>
    </row>
    <row r="1131" spans="2:9" ht="14.25" x14ac:dyDescent="0.15">
      <c r="B1131" s="29"/>
      <c r="C1131" s="29"/>
      <c r="G1131" s="13"/>
      <c r="I1131" s="13"/>
    </row>
    <row r="1132" spans="2:9" ht="14.25" x14ac:dyDescent="0.15">
      <c r="B1132" s="29"/>
      <c r="C1132" s="29"/>
      <c r="G1132" s="13"/>
      <c r="I1132" s="13"/>
    </row>
    <row r="1133" spans="2:9" ht="14.25" x14ac:dyDescent="0.15">
      <c r="B1133" s="29"/>
      <c r="C1133" s="29"/>
      <c r="G1133" s="13"/>
      <c r="I1133" s="13"/>
    </row>
    <row r="1134" spans="2:9" ht="14.25" x14ac:dyDescent="0.15">
      <c r="B1134" s="29"/>
      <c r="C1134" s="29"/>
      <c r="G1134" s="13"/>
      <c r="I1134" s="13"/>
    </row>
    <row r="1135" spans="2:9" ht="14.25" x14ac:dyDescent="0.15">
      <c r="B1135" s="29"/>
      <c r="C1135" s="29"/>
      <c r="G1135" s="13"/>
      <c r="I1135" s="13"/>
    </row>
    <row r="1136" spans="2:9" ht="14.25" x14ac:dyDescent="0.15">
      <c r="B1136" s="29"/>
      <c r="C1136" s="29"/>
      <c r="G1136" s="13"/>
      <c r="I1136" s="13"/>
    </row>
    <row r="1137" spans="2:9" ht="14.25" x14ac:dyDescent="0.15">
      <c r="B1137" s="29"/>
      <c r="C1137" s="29"/>
      <c r="G1137" s="13"/>
      <c r="I1137" s="13"/>
    </row>
    <row r="1138" spans="2:9" ht="14.25" x14ac:dyDescent="0.15">
      <c r="B1138" s="29"/>
      <c r="C1138" s="29"/>
      <c r="G1138" s="13"/>
      <c r="I1138" s="13"/>
    </row>
    <row r="1139" spans="2:9" ht="14.25" x14ac:dyDescent="0.15">
      <c r="B1139" s="29"/>
      <c r="C1139" s="29"/>
      <c r="G1139" s="13"/>
      <c r="I1139" s="13"/>
    </row>
    <row r="1140" spans="2:9" ht="14.25" x14ac:dyDescent="0.15">
      <c r="B1140" s="29"/>
      <c r="C1140" s="29"/>
      <c r="G1140" s="13"/>
      <c r="I1140" s="13"/>
    </row>
    <row r="1141" spans="2:9" ht="14.25" x14ac:dyDescent="0.15">
      <c r="B1141" s="29"/>
      <c r="C1141" s="29"/>
      <c r="G1141" s="13"/>
      <c r="I1141" s="13"/>
    </row>
    <row r="1142" spans="2:9" ht="14.25" x14ac:dyDescent="0.15">
      <c r="B1142" s="29"/>
      <c r="C1142" s="29"/>
      <c r="G1142" s="13"/>
      <c r="I1142" s="13"/>
    </row>
    <row r="1143" spans="2:9" ht="14.25" x14ac:dyDescent="0.15">
      <c r="B1143" s="29"/>
      <c r="C1143" s="29"/>
      <c r="G1143" s="13"/>
      <c r="I1143" s="13"/>
    </row>
    <row r="1144" spans="2:9" ht="14.25" x14ac:dyDescent="0.15">
      <c r="B1144" s="29"/>
      <c r="C1144" s="29"/>
      <c r="G1144" s="13"/>
      <c r="I1144" s="13"/>
    </row>
    <row r="1145" spans="2:9" ht="14.25" x14ac:dyDescent="0.15">
      <c r="B1145" s="29"/>
      <c r="C1145" s="29"/>
      <c r="G1145" s="13"/>
      <c r="I1145" s="13"/>
    </row>
    <row r="1146" spans="2:9" ht="14.25" x14ac:dyDescent="0.15">
      <c r="B1146" s="29"/>
      <c r="C1146" s="29"/>
      <c r="G1146" s="13"/>
      <c r="I1146" s="13"/>
    </row>
    <row r="1147" spans="2:9" ht="14.25" x14ac:dyDescent="0.15">
      <c r="B1147" s="29"/>
      <c r="C1147" s="29"/>
      <c r="G1147" s="13"/>
      <c r="I1147" s="13"/>
    </row>
    <row r="1148" spans="2:9" ht="14.25" x14ac:dyDescent="0.15">
      <c r="B1148" s="29"/>
      <c r="C1148" s="29"/>
      <c r="G1148" s="13"/>
      <c r="I1148" s="13"/>
    </row>
    <row r="1149" spans="2:9" ht="14.25" x14ac:dyDescent="0.15">
      <c r="B1149" s="29"/>
      <c r="C1149" s="29"/>
      <c r="G1149" s="13"/>
      <c r="I1149" s="13"/>
    </row>
    <row r="1150" spans="2:9" ht="14.25" x14ac:dyDescent="0.15">
      <c r="B1150" s="29"/>
      <c r="C1150" s="29"/>
      <c r="G1150" s="13"/>
      <c r="I1150" s="13"/>
    </row>
    <row r="1151" spans="2:9" ht="14.25" x14ac:dyDescent="0.15">
      <c r="B1151" s="29"/>
      <c r="C1151" s="29"/>
      <c r="G1151" s="13"/>
      <c r="I1151" s="13"/>
    </row>
    <row r="1152" spans="2:9" ht="14.25" x14ac:dyDescent="0.15">
      <c r="B1152" s="29"/>
      <c r="C1152" s="29"/>
      <c r="G1152" s="13"/>
      <c r="I1152" s="13"/>
    </row>
    <row r="1153" spans="2:9" ht="14.25" x14ac:dyDescent="0.15">
      <c r="B1153" s="29"/>
      <c r="C1153" s="29"/>
      <c r="G1153" s="13"/>
      <c r="I1153" s="13"/>
    </row>
    <row r="1154" spans="2:9" ht="14.25" x14ac:dyDescent="0.15">
      <c r="B1154" s="29"/>
      <c r="C1154" s="29"/>
      <c r="G1154" s="13"/>
      <c r="I1154" s="13"/>
    </row>
    <row r="1155" spans="2:9" ht="14.25" x14ac:dyDescent="0.15">
      <c r="B1155" s="29"/>
      <c r="C1155" s="29"/>
      <c r="G1155" s="13"/>
      <c r="I1155" s="13"/>
    </row>
    <row r="1156" spans="2:9" ht="14.25" x14ac:dyDescent="0.15">
      <c r="B1156" s="29"/>
      <c r="C1156" s="29"/>
      <c r="G1156" s="13"/>
      <c r="I1156" s="13"/>
    </row>
    <row r="1157" spans="2:9" ht="14.25" x14ac:dyDescent="0.15">
      <c r="B1157" s="29"/>
      <c r="C1157" s="29"/>
      <c r="G1157" s="13"/>
      <c r="I1157" s="13"/>
    </row>
    <row r="1158" spans="2:9" ht="14.25" x14ac:dyDescent="0.15">
      <c r="B1158" s="29"/>
      <c r="C1158" s="29"/>
      <c r="G1158" s="13"/>
      <c r="I1158" s="13"/>
    </row>
    <row r="1159" spans="2:9" ht="14.25" x14ac:dyDescent="0.15">
      <c r="B1159" s="29"/>
      <c r="C1159" s="29"/>
      <c r="G1159" s="13"/>
      <c r="I1159" s="13"/>
    </row>
    <row r="1160" spans="2:9" ht="14.25" x14ac:dyDescent="0.15">
      <c r="B1160" s="29"/>
      <c r="C1160" s="29"/>
      <c r="G1160" s="13"/>
      <c r="I1160" s="13"/>
    </row>
    <row r="1161" spans="2:9" ht="14.25" x14ac:dyDescent="0.15">
      <c r="B1161" s="29"/>
      <c r="C1161" s="29"/>
      <c r="G1161" s="13"/>
      <c r="I1161" s="13"/>
    </row>
    <row r="1162" spans="2:9" ht="14.25" x14ac:dyDescent="0.15">
      <c r="B1162" s="29"/>
      <c r="C1162" s="29"/>
      <c r="G1162" s="13"/>
      <c r="I1162" s="13"/>
    </row>
    <row r="1163" spans="2:9" ht="14.25" x14ac:dyDescent="0.15">
      <c r="B1163" s="29"/>
      <c r="C1163" s="29"/>
      <c r="G1163" s="13"/>
      <c r="I1163" s="13"/>
    </row>
    <row r="1164" spans="2:9" ht="14.25" x14ac:dyDescent="0.15">
      <c r="B1164" s="29"/>
      <c r="C1164" s="29"/>
      <c r="G1164" s="13"/>
      <c r="I1164" s="13"/>
    </row>
    <row r="1165" spans="2:9" ht="14.25" x14ac:dyDescent="0.15">
      <c r="B1165" s="29"/>
      <c r="C1165" s="29"/>
      <c r="G1165" s="13"/>
      <c r="I1165" s="13"/>
    </row>
    <row r="1166" spans="2:9" ht="14.25" x14ac:dyDescent="0.15">
      <c r="B1166" s="29"/>
      <c r="C1166" s="29"/>
      <c r="G1166" s="13"/>
      <c r="I1166" s="13"/>
    </row>
    <row r="1167" spans="2:9" ht="14.25" x14ac:dyDescent="0.15">
      <c r="B1167" s="29"/>
      <c r="C1167" s="29"/>
      <c r="G1167" s="13"/>
      <c r="I1167" s="13"/>
    </row>
    <row r="1168" spans="2:9" ht="14.25" x14ac:dyDescent="0.15">
      <c r="B1168" s="29"/>
      <c r="C1168" s="29"/>
      <c r="G1168" s="13"/>
      <c r="I1168" s="13"/>
    </row>
    <row r="1169" spans="2:9" ht="14.25" x14ac:dyDescent="0.15">
      <c r="B1169" s="29"/>
      <c r="C1169" s="29"/>
      <c r="G1169" s="13"/>
      <c r="I1169" s="13"/>
    </row>
    <row r="1170" spans="2:9" ht="14.25" x14ac:dyDescent="0.15">
      <c r="B1170" s="29"/>
      <c r="C1170" s="29"/>
      <c r="G1170" s="13"/>
      <c r="I1170" s="13"/>
    </row>
    <row r="1171" spans="2:9" ht="14.25" x14ac:dyDescent="0.15">
      <c r="B1171" s="29"/>
      <c r="C1171" s="29"/>
      <c r="G1171" s="13"/>
      <c r="I1171" s="13"/>
    </row>
    <row r="1172" spans="2:9" ht="14.25" x14ac:dyDescent="0.15">
      <c r="B1172" s="29"/>
      <c r="C1172" s="29"/>
      <c r="G1172" s="13"/>
      <c r="I1172" s="13"/>
    </row>
    <row r="1173" spans="2:9" ht="14.25" x14ac:dyDescent="0.15">
      <c r="B1173" s="29"/>
      <c r="C1173" s="29"/>
      <c r="G1173" s="13"/>
      <c r="I1173" s="13"/>
    </row>
    <row r="1174" spans="2:9" ht="14.25" x14ac:dyDescent="0.15">
      <c r="B1174" s="29"/>
      <c r="C1174" s="29"/>
      <c r="G1174" s="13"/>
      <c r="I1174" s="13"/>
    </row>
    <row r="1175" spans="2:9" ht="14.25" x14ac:dyDescent="0.15">
      <c r="B1175" s="29"/>
      <c r="C1175" s="29"/>
      <c r="G1175" s="13"/>
      <c r="I1175" s="13"/>
    </row>
    <row r="1176" spans="2:9" ht="14.25" x14ac:dyDescent="0.15">
      <c r="B1176" s="29"/>
      <c r="C1176" s="29"/>
      <c r="G1176" s="13"/>
      <c r="I1176" s="13"/>
    </row>
    <row r="1177" spans="2:9" ht="14.25" x14ac:dyDescent="0.15">
      <c r="B1177" s="29"/>
      <c r="C1177" s="29"/>
      <c r="G1177" s="13"/>
      <c r="I1177" s="13"/>
    </row>
    <row r="1178" spans="2:9" ht="14.25" x14ac:dyDescent="0.15">
      <c r="B1178" s="29"/>
      <c r="C1178" s="29"/>
      <c r="G1178" s="13"/>
      <c r="I1178" s="13"/>
    </row>
    <row r="1179" spans="2:9" ht="14.25" x14ac:dyDescent="0.15">
      <c r="B1179" s="29"/>
      <c r="C1179" s="29"/>
      <c r="G1179" s="13"/>
      <c r="I1179" s="13"/>
    </row>
    <row r="1180" spans="2:9" ht="14.25" x14ac:dyDescent="0.15">
      <c r="B1180" s="29"/>
      <c r="C1180" s="29"/>
      <c r="G1180" s="13"/>
      <c r="I1180" s="13"/>
    </row>
    <row r="1181" spans="2:9" ht="14.25" x14ac:dyDescent="0.15">
      <c r="B1181" s="29"/>
      <c r="C1181" s="29"/>
      <c r="G1181" s="13"/>
      <c r="I1181" s="13"/>
    </row>
    <row r="1182" spans="2:9" ht="14.25" x14ac:dyDescent="0.15">
      <c r="B1182" s="29"/>
      <c r="C1182" s="29"/>
      <c r="G1182" s="13"/>
      <c r="I1182" s="13"/>
    </row>
    <row r="1183" spans="2:9" ht="14.25" x14ac:dyDescent="0.15">
      <c r="B1183" s="29"/>
      <c r="C1183" s="29"/>
      <c r="G1183" s="13"/>
      <c r="I1183" s="13"/>
    </row>
    <row r="1184" spans="2:9" ht="14.25" x14ac:dyDescent="0.15">
      <c r="B1184" s="29"/>
      <c r="C1184" s="29"/>
      <c r="G1184" s="13"/>
      <c r="I1184" s="13"/>
    </row>
    <row r="1185" spans="2:9" ht="14.25" x14ac:dyDescent="0.15">
      <c r="B1185" s="29"/>
      <c r="C1185" s="29"/>
      <c r="G1185" s="13"/>
      <c r="I1185" s="13"/>
    </row>
    <row r="1186" spans="2:9" ht="14.25" x14ac:dyDescent="0.15">
      <c r="B1186" s="29"/>
      <c r="C1186" s="29"/>
      <c r="G1186" s="13"/>
      <c r="I1186" s="13"/>
    </row>
    <row r="1187" spans="2:9" ht="14.25" x14ac:dyDescent="0.15">
      <c r="B1187" s="29"/>
      <c r="C1187" s="29"/>
      <c r="G1187" s="13"/>
      <c r="I1187" s="13"/>
    </row>
    <row r="1188" spans="2:9" ht="14.25" x14ac:dyDescent="0.15">
      <c r="B1188" s="29"/>
      <c r="C1188" s="29"/>
      <c r="G1188" s="13"/>
      <c r="I1188" s="13"/>
    </row>
    <row r="1189" spans="2:9" ht="14.25" x14ac:dyDescent="0.15">
      <c r="B1189" s="29"/>
      <c r="C1189" s="29"/>
      <c r="G1189" s="13"/>
      <c r="I1189" s="13"/>
    </row>
    <row r="1190" spans="2:9" ht="14.25" x14ac:dyDescent="0.15">
      <c r="B1190" s="29"/>
      <c r="C1190" s="29"/>
      <c r="G1190" s="13"/>
      <c r="I1190" s="13"/>
    </row>
    <row r="1191" spans="2:9" ht="14.25" x14ac:dyDescent="0.15">
      <c r="B1191" s="29"/>
      <c r="C1191" s="29"/>
      <c r="G1191" s="13"/>
      <c r="I1191" s="13"/>
    </row>
    <row r="1192" spans="2:9" ht="14.25" x14ac:dyDescent="0.15">
      <c r="B1192" s="29"/>
      <c r="C1192" s="29"/>
      <c r="G1192" s="13"/>
      <c r="I1192" s="13"/>
    </row>
    <row r="1193" spans="2:9" ht="14.25" x14ac:dyDescent="0.15">
      <c r="B1193" s="29"/>
      <c r="C1193" s="29"/>
      <c r="G1193" s="13"/>
      <c r="I1193" s="13"/>
    </row>
    <row r="1194" spans="2:9" ht="14.25" x14ac:dyDescent="0.15">
      <c r="B1194" s="29"/>
      <c r="C1194" s="29"/>
      <c r="G1194" s="13"/>
      <c r="I1194" s="13"/>
    </row>
    <row r="1195" spans="2:9" ht="14.25" x14ac:dyDescent="0.15">
      <c r="B1195" s="29"/>
      <c r="C1195" s="29"/>
      <c r="G1195" s="13"/>
      <c r="I1195" s="13"/>
    </row>
    <row r="1196" spans="2:9" ht="14.25" x14ac:dyDescent="0.15">
      <c r="B1196" s="29"/>
      <c r="C1196" s="29"/>
      <c r="G1196" s="13"/>
      <c r="I1196" s="13"/>
    </row>
    <row r="1197" spans="2:9" ht="14.25" x14ac:dyDescent="0.15">
      <c r="B1197" s="29"/>
      <c r="C1197" s="29"/>
      <c r="G1197" s="13"/>
      <c r="I1197" s="13"/>
    </row>
    <row r="1198" spans="2:9" ht="14.25" x14ac:dyDescent="0.15">
      <c r="B1198" s="29"/>
      <c r="C1198" s="29"/>
      <c r="G1198" s="13"/>
      <c r="I1198" s="13"/>
    </row>
    <row r="1199" spans="2:9" ht="14.25" x14ac:dyDescent="0.15">
      <c r="B1199" s="29"/>
      <c r="C1199" s="29"/>
      <c r="G1199" s="13"/>
      <c r="I1199" s="13"/>
    </row>
    <row r="1200" spans="2:9" ht="14.25" x14ac:dyDescent="0.15">
      <c r="B1200" s="29"/>
      <c r="C1200" s="29"/>
      <c r="G1200" s="13"/>
      <c r="I1200" s="13"/>
    </row>
    <row r="1201" spans="2:9" ht="14.25" x14ac:dyDescent="0.15">
      <c r="B1201" s="29"/>
      <c r="C1201" s="29"/>
      <c r="G1201" s="13"/>
      <c r="I1201" s="13"/>
    </row>
    <row r="1202" spans="2:9" ht="14.25" x14ac:dyDescent="0.15">
      <c r="B1202" s="29"/>
      <c r="C1202" s="29"/>
      <c r="G1202" s="13"/>
      <c r="I1202" s="13"/>
    </row>
    <row r="1203" spans="2:9" ht="14.25" x14ac:dyDescent="0.15">
      <c r="B1203" s="29"/>
      <c r="C1203" s="29"/>
      <c r="G1203" s="13"/>
      <c r="I1203" s="13"/>
    </row>
    <row r="1204" spans="2:9" ht="14.25" x14ac:dyDescent="0.15">
      <c r="B1204" s="29"/>
      <c r="C1204" s="29"/>
      <c r="G1204" s="13"/>
      <c r="I1204" s="13"/>
    </row>
    <row r="1205" spans="2:9" ht="14.25" x14ac:dyDescent="0.15">
      <c r="B1205" s="29"/>
      <c r="C1205" s="29"/>
      <c r="G1205" s="13"/>
      <c r="I1205" s="13"/>
    </row>
    <row r="1206" spans="2:9" ht="14.25" x14ac:dyDescent="0.15">
      <c r="B1206" s="29"/>
      <c r="C1206" s="29"/>
      <c r="G1206" s="13"/>
      <c r="I1206" s="13"/>
    </row>
    <row r="1207" spans="2:9" ht="14.25" x14ac:dyDescent="0.15">
      <c r="B1207" s="29"/>
      <c r="C1207" s="29"/>
      <c r="G1207" s="13"/>
      <c r="I1207" s="13"/>
    </row>
    <row r="1208" spans="2:9" ht="14.25" x14ac:dyDescent="0.15">
      <c r="B1208" s="29"/>
      <c r="C1208" s="29"/>
      <c r="G1208" s="13"/>
      <c r="I1208" s="13"/>
    </row>
    <row r="1209" spans="2:9" ht="14.25" x14ac:dyDescent="0.15">
      <c r="B1209" s="29"/>
      <c r="C1209" s="29"/>
      <c r="G1209" s="13"/>
      <c r="I1209" s="13"/>
    </row>
    <row r="1210" spans="2:9" ht="14.25" x14ac:dyDescent="0.15">
      <c r="B1210" s="29"/>
      <c r="C1210" s="29"/>
      <c r="G1210" s="13"/>
      <c r="I1210" s="13"/>
    </row>
    <row r="1211" spans="2:9" ht="14.25" x14ac:dyDescent="0.15">
      <c r="B1211" s="29"/>
      <c r="C1211" s="29"/>
      <c r="G1211" s="13"/>
      <c r="I1211" s="13"/>
    </row>
    <row r="1212" spans="2:9" ht="14.25" x14ac:dyDescent="0.15">
      <c r="B1212" s="29"/>
      <c r="C1212" s="29"/>
      <c r="G1212" s="13"/>
      <c r="I1212" s="13"/>
    </row>
    <row r="1213" spans="2:9" ht="14.25" x14ac:dyDescent="0.15">
      <c r="B1213" s="29"/>
      <c r="C1213" s="29"/>
      <c r="G1213" s="13"/>
      <c r="I1213" s="13"/>
    </row>
    <row r="1214" spans="2:9" ht="14.25" x14ac:dyDescent="0.15">
      <c r="B1214" s="29"/>
      <c r="C1214" s="29"/>
      <c r="G1214" s="13"/>
      <c r="I1214" s="13"/>
    </row>
    <row r="1215" spans="2:9" ht="14.25" x14ac:dyDescent="0.15">
      <c r="B1215" s="29"/>
      <c r="C1215" s="29"/>
      <c r="G1215" s="13"/>
      <c r="I1215" s="13"/>
    </row>
    <row r="1216" spans="2:9" ht="14.25" x14ac:dyDescent="0.15">
      <c r="B1216" s="29"/>
      <c r="C1216" s="29"/>
      <c r="G1216" s="13"/>
      <c r="I1216" s="13"/>
    </row>
    <row r="1217" spans="2:9" ht="14.25" x14ac:dyDescent="0.15">
      <c r="B1217" s="29"/>
      <c r="C1217" s="29"/>
      <c r="G1217" s="13"/>
      <c r="I1217" s="13"/>
    </row>
    <row r="1218" spans="2:9" ht="14.25" x14ac:dyDescent="0.15">
      <c r="B1218" s="29"/>
      <c r="C1218" s="29"/>
      <c r="G1218" s="13"/>
      <c r="I1218" s="13"/>
    </row>
    <row r="1219" spans="2:9" ht="14.25" x14ac:dyDescent="0.15">
      <c r="B1219" s="29"/>
      <c r="C1219" s="29"/>
      <c r="G1219" s="13"/>
      <c r="I1219" s="13"/>
    </row>
    <row r="1220" spans="2:9" ht="14.25" x14ac:dyDescent="0.15">
      <c r="B1220" s="29"/>
      <c r="C1220" s="29"/>
      <c r="G1220" s="13"/>
      <c r="I1220" s="13"/>
    </row>
    <row r="1221" spans="2:9" ht="14.25" x14ac:dyDescent="0.15">
      <c r="B1221" s="29"/>
      <c r="C1221" s="29"/>
      <c r="G1221" s="13"/>
      <c r="I1221" s="13"/>
    </row>
    <row r="1222" spans="2:9" ht="14.25" x14ac:dyDescent="0.15">
      <c r="B1222" s="29"/>
      <c r="C1222" s="29"/>
      <c r="G1222" s="13"/>
      <c r="I1222" s="13"/>
    </row>
    <row r="1223" spans="2:9" ht="14.25" x14ac:dyDescent="0.15">
      <c r="B1223" s="29"/>
      <c r="C1223" s="29"/>
      <c r="G1223" s="13"/>
      <c r="I1223" s="13"/>
    </row>
    <row r="1224" spans="2:9" ht="14.25" x14ac:dyDescent="0.15">
      <c r="B1224" s="29"/>
      <c r="C1224" s="29"/>
      <c r="G1224" s="13"/>
      <c r="I1224" s="13"/>
    </row>
    <row r="1225" spans="2:9" ht="14.25" x14ac:dyDescent="0.15">
      <c r="B1225" s="29"/>
      <c r="C1225" s="29"/>
      <c r="G1225" s="13"/>
      <c r="I1225" s="13"/>
    </row>
    <row r="1226" spans="2:9" ht="14.25" x14ac:dyDescent="0.15">
      <c r="B1226" s="29"/>
      <c r="C1226" s="29"/>
      <c r="G1226" s="13"/>
      <c r="I1226" s="13"/>
    </row>
    <row r="1227" spans="2:9" ht="14.25" x14ac:dyDescent="0.15">
      <c r="B1227" s="29"/>
      <c r="C1227" s="29"/>
      <c r="G1227" s="13"/>
      <c r="I1227" s="13"/>
    </row>
    <row r="1228" spans="2:9" ht="14.25" x14ac:dyDescent="0.15">
      <c r="B1228" s="29"/>
      <c r="C1228" s="29"/>
      <c r="G1228" s="13"/>
      <c r="I1228" s="13"/>
    </row>
    <row r="1229" spans="2:9" ht="14.25" x14ac:dyDescent="0.15">
      <c r="B1229" s="29"/>
      <c r="C1229" s="29"/>
      <c r="G1229" s="13"/>
      <c r="I1229" s="13"/>
    </row>
    <row r="1230" spans="2:9" ht="14.25" x14ac:dyDescent="0.15">
      <c r="B1230" s="29"/>
      <c r="C1230" s="29"/>
      <c r="G1230" s="13"/>
      <c r="I1230" s="13"/>
    </row>
    <row r="1231" spans="2:9" ht="14.25" x14ac:dyDescent="0.15">
      <c r="B1231" s="29"/>
      <c r="C1231" s="29"/>
      <c r="G1231" s="13"/>
      <c r="I1231" s="13"/>
    </row>
    <row r="1232" spans="2:9" ht="14.25" x14ac:dyDescent="0.15">
      <c r="B1232" s="29"/>
      <c r="C1232" s="29"/>
      <c r="G1232" s="13"/>
      <c r="I1232" s="13"/>
    </row>
    <row r="1233" spans="2:9" ht="14.25" x14ac:dyDescent="0.15">
      <c r="B1233" s="29"/>
      <c r="C1233" s="29"/>
      <c r="G1233" s="13"/>
      <c r="I1233" s="13"/>
    </row>
    <row r="1234" spans="2:9" ht="14.25" x14ac:dyDescent="0.15">
      <c r="B1234" s="29"/>
      <c r="C1234" s="29"/>
      <c r="G1234" s="13"/>
      <c r="I1234" s="13"/>
    </row>
    <row r="1235" spans="2:9" ht="14.25" x14ac:dyDescent="0.15">
      <c r="B1235" s="29"/>
      <c r="C1235" s="29"/>
      <c r="G1235" s="13"/>
      <c r="I1235" s="13"/>
    </row>
    <row r="1236" spans="2:9" ht="14.25" x14ac:dyDescent="0.15">
      <c r="B1236" s="29"/>
      <c r="C1236" s="29"/>
      <c r="G1236" s="13"/>
      <c r="I1236" s="13"/>
    </row>
    <row r="1237" spans="2:9" ht="14.25" x14ac:dyDescent="0.15">
      <c r="B1237" s="29"/>
      <c r="C1237" s="29"/>
      <c r="G1237" s="13"/>
      <c r="I1237" s="13"/>
    </row>
    <row r="1238" spans="2:9" ht="14.25" x14ac:dyDescent="0.15">
      <c r="B1238" s="29"/>
      <c r="C1238" s="29"/>
      <c r="G1238" s="13"/>
      <c r="I1238" s="13"/>
    </row>
    <row r="1239" spans="2:9" ht="14.25" x14ac:dyDescent="0.15">
      <c r="B1239" s="29"/>
      <c r="C1239" s="29"/>
      <c r="G1239" s="13"/>
      <c r="I1239" s="13"/>
    </row>
    <row r="1240" spans="2:9" ht="14.25" x14ac:dyDescent="0.15">
      <c r="B1240" s="29"/>
      <c r="C1240" s="29"/>
      <c r="G1240" s="13"/>
      <c r="I1240" s="13"/>
    </row>
    <row r="1241" spans="2:9" ht="14.25" x14ac:dyDescent="0.15">
      <c r="B1241" s="29"/>
      <c r="C1241" s="29"/>
      <c r="G1241" s="13"/>
      <c r="I1241" s="13"/>
    </row>
    <row r="1242" spans="2:9" ht="14.25" x14ac:dyDescent="0.15">
      <c r="B1242" s="29"/>
      <c r="C1242" s="29"/>
      <c r="G1242" s="13"/>
      <c r="I1242" s="13"/>
    </row>
    <row r="1243" spans="2:9" ht="14.25" x14ac:dyDescent="0.15">
      <c r="B1243" s="29"/>
      <c r="C1243" s="29"/>
      <c r="G1243" s="13"/>
      <c r="I1243" s="13"/>
    </row>
    <row r="1244" spans="2:9" ht="14.25" x14ac:dyDescent="0.15">
      <c r="B1244" s="29"/>
      <c r="C1244" s="29"/>
      <c r="G1244" s="13"/>
      <c r="I1244" s="13"/>
    </row>
    <row r="1245" spans="2:9" ht="14.25" x14ac:dyDescent="0.15">
      <c r="B1245" s="29"/>
      <c r="C1245" s="29"/>
      <c r="G1245" s="13"/>
      <c r="I1245" s="13"/>
    </row>
    <row r="1246" spans="2:9" ht="14.25" x14ac:dyDescent="0.15">
      <c r="B1246" s="29"/>
      <c r="C1246" s="29"/>
      <c r="G1246" s="13"/>
      <c r="I1246" s="13"/>
    </row>
    <row r="1247" spans="2:9" ht="14.25" x14ac:dyDescent="0.15">
      <c r="B1247" s="29"/>
      <c r="C1247" s="29"/>
      <c r="G1247" s="13"/>
      <c r="I1247" s="13"/>
    </row>
    <row r="1248" spans="2:9" ht="14.25" x14ac:dyDescent="0.15">
      <c r="B1248" s="29"/>
      <c r="C1248" s="29"/>
      <c r="G1248" s="13"/>
      <c r="I1248" s="13"/>
    </row>
    <row r="1249" spans="2:9" ht="14.25" x14ac:dyDescent="0.15">
      <c r="B1249" s="29"/>
      <c r="C1249" s="29"/>
      <c r="G1249" s="13"/>
      <c r="I1249" s="13"/>
    </row>
    <row r="1250" spans="2:9" ht="14.25" x14ac:dyDescent="0.15">
      <c r="B1250" s="29"/>
      <c r="C1250" s="29"/>
      <c r="G1250" s="13"/>
      <c r="I1250" s="13"/>
    </row>
    <row r="1251" spans="2:9" ht="14.25" x14ac:dyDescent="0.15">
      <c r="B1251" s="29"/>
      <c r="C1251" s="29"/>
      <c r="G1251" s="13"/>
      <c r="I1251" s="13"/>
    </row>
    <row r="1252" spans="2:9" ht="14.25" x14ac:dyDescent="0.15">
      <c r="B1252" s="29"/>
      <c r="C1252" s="29"/>
      <c r="G1252" s="13"/>
      <c r="I1252" s="13"/>
    </row>
    <row r="1253" spans="2:9" ht="14.25" x14ac:dyDescent="0.15">
      <c r="B1253" s="29"/>
      <c r="C1253" s="29"/>
      <c r="G1253" s="13"/>
      <c r="I1253" s="13"/>
    </row>
    <row r="1254" spans="2:9" ht="14.25" x14ac:dyDescent="0.15">
      <c r="B1254" s="29"/>
      <c r="C1254" s="29"/>
      <c r="G1254" s="13"/>
      <c r="I1254" s="13"/>
    </row>
    <row r="1255" spans="2:9" ht="14.25" x14ac:dyDescent="0.15">
      <c r="B1255" s="29"/>
      <c r="C1255" s="29"/>
      <c r="G1255" s="13"/>
      <c r="I1255" s="13"/>
    </row>
    <row r="1256" spans="2:9" ht="14.25" x14ac:dyDescent="0.15">
      <c r="B1256" s="29"/>
      <c r="C1256" s="29"/>
      <c r="G1256" s="13"/>
      <c r="I1256" s="13"/>
    </row>
    <row r="1257" spans="2:9" ht="14.25" x14ac:dyDescent="0.15">
      <c r="B1257" s="29"/>
      <c r="C1257" s="29"/>
      <c r="G1257" s="13"/>
      <c r="I1257" s="13"/>
    </row>
    <row r="1258" spans="2:9" ht="14.25" x14ac:dyDescent="0.15">
      <c r="B1258" s="29"/>
      <c r="C1258" s="29"/>
      <c r="G1258" s="13"/>
      <c r="I1258" s="13"/>
    </row>
    <row r="1259" spans="2:9" ht="14.25" x14ac:dyDescent="0.15">
      <c r="B1259" s="29"/>
      <c r="C1259" s="29"/>
      <c r="G1259" s="13"/>
      <c r="I1259" s="13"/>
    </row>
    <row r="1260" spans="2:9" ht="14.25" x14ac:dyDescent="0.15">
      <c r="B1260" s="29"/>
      <c r="C1260" s="29"/>
      <c r="G1260" s="13"/>
      <c r="I1260" s="13"/>
    </row>
    <row r="1261" spans="2:9" ht="14.25" x14ac:dyDescent="0.15">
      <c r="B1261" s="29"/>
      <c r="C1261" s="29"/>
      <c r="G1261" s="13"/>
      <c r="I1261" s="13"/>
    </row>
    <row r="1262" spans="2:9" ht="14.25" x14ac:dyDescent="0.15">
      <c r="B1262" s="29"/>
      <c r="C1262" s="29"/>
      <c r="G1262" s="13"/>
      <c r="I1262" s="13"/>
    </row>
    <row r="1263" spans="2:9" ht="14.25" x14ac:dyDescent="0.15">
      <c r="B1263" s="29"/>
      <c r="C1263" s="29"/>
      <c r="G1263" s="13"/>
      <c r="I1263" s="13"/>
    </row>
    <row r="1264" spans="2:9" ht="14.25" x14ac:dyDescent="0.15">
      <c r="B1264" s="29"/>
      <c r="C1264" s="29"/>
      <c r="G1264" s="13"/>
      <c r="I1264" s="13"/>
    </row>
    <row r="1265" spans="2:9" ht="14.25" x14ac:dyDescent="0.15">
      <c r="B1265" s="29"/>
      <c r="C1265" s="29"/>
      <c r="G1265" s="13"/>
      <c r="I1265" s="13"/>
    </row>
    <row r="1266" spans="2:9" ht="14.25" x14ac:dyDescent="0.15">
      <c r="B1266" s="29"/>
      <c r="C1266" s="29"/>
      <c r="G1266" s="13"/>
      <c r="I1266" s="13"/>
    </row>
    <row r="1267" spans="2:9" ht="14.25" x14ac:dyDescent="0.15">
      <c r="B1267" s="29"/>
      <c r="C1267" s="29"/>
      <c r="G1267" s="13"/>
      <c r="I1267" s="13"/>
    </row>
    <row r="1268" spans="2:9" ht="14.25" x14ac:dyDescent="0.15">
      <c r="B1268" s="29"/>
      <c r="C1268" s="29"/>
      <c r="G1268" s="13"/>
      <c r="I1268" s="13"/>
    </row>
    <row r="1269" spans="2:9" ht="14.25" x14ac:dyDescent="0.15">
      <c r="B1269" s="29"/>
      <c r="C1269" s="29"/>
      <c r="G1269" s="13"/>
      <c r="I1269" s="13"/>
    </row>
    <row r="1270" spans="2:9" ht="14.25" x14ac:dyDescent="0.15">
      <c r="B1270" s="29"/>
      <c r="C1270" s="29"/>
      <c r="G1270" s="13"/>
      <c r="I1270" s="13"/>
    </row>
    <row r="1271" spans="2:9" ht="14.25" x14ac:dyDescent="0.15">
      <c r="B1271" s="29"/>
      <c r="C1271" s="29"/>
      <c r="G1271" s="13"/>
      <c r="I1271" s="13"/>
    </row>
    <row r="1272" spans="2:9" ht="14.25" x14ac:dyDescent="0.15">
      <c r="B1272" s="29"/>
      <c r="C1272" s="29"/>
      <c r="G1272" s="13"/>
      <c r="I1272" s="13"/>
    </row>
    <row r="1273" spans="2:9" ht="14.25" x14ac:dyDescent="0.15">
      <c r="B1273" s="29"/>
      <c r="C1273" s="29"/>
      <c r="G1273" s="13"/>
      <c r="I1273" s="13"/>
    </row>
    <row r="1274" spans="2:9" ht="14.25" x14ac:dyDescent="0.15">
      <c r="B1274" s="29"/>
      <c r="C1274" s="29"/>
      <c r="G1274" s="13"/>
      <c r="I1274" s="13"/>
    </row>
    <row r="1275" spans="2:9" ht="14.25" x14ac:dyDescent="0.15">
      <c r="B1275" s="29"/>
      <c r="C1275" s="29"/>
      <c r="G1275" s="13"/>
      <c r="I1275" s="13"/>
    </row>
    <row r="1276" spans="2:9" ht="14.25" x14ac:dyDescent="0.15">
      <c r="B1276" s="29"/>
      <c r="C1276" s="29"/>
      <c r="G1276" s="13"/>
      <c r="I1276" s="13"/>
    </row>
    <row r="1277" spans="2:9" ht="14.25" x14ac:dyDescent="0.15">
      <c r="B1277" s="29"/>
      <c r="C1277" s="29"/>
      <c r="G1277" s="13"/>
      <c r="I1277" s="13"/>
    </row>
    <row r="1278" spans="2:9" ht="14.25" x14ac:dyDescent="0.15">
      <c r="B1278" s="29"/>
      <c r="C1278" s="29"/>
      <c r="G1278" s="13"/>
      <c r="I1278" s="13"/>
    </row>
    <row r="1279" spans="2:9" ht="14.25" x14ac:dyDescent="0.15">
      <c r="B1279" s="29"/>
      <c r="C1279" s="29"/>
      <c r="G1279" s="13"/>
      <c r="I1279" s="13"/>
    </row>
    <row r="1280" spans="2:9" ht="14.25" x14ac:dyDescent="0.15">
      <c r="B1280" s="29"/>
      <c r="C1280" s="29"/>
      <c r="G1280" s="13"/>
      <c r="I1280" s="13"/>
    </row>
    <row r="1281" spans="2:9" ht="14.25" x14ac:dyDescent="0.15">
      <c r="B1281" s="29"/>
      <c r="C1281" s="29"/>
      <c r="G1281" s="13"/>
      <c r="I1281" s="13"/>
    </row>
    <row r="1282" spans="2:9" ht="14.25" x14ac:dyDescent="0.15">
      <c r="B1282" s="29"/>
      <c r="C1282" s="29"/>
      <c r="G1282" s="13"/>
      <c r="I1282" s="13"/>
    </row>
    <row r="1283" spans="2:9" ht="14.25" x14ac:dyDescent="0.15">
      <c r="B1283" s="29"/>
      <c r="C1283" s="29"/>
      <c r="G1283" s="13"/>
      <c r="I1283" s="13"/>
    </row>
    <row r="1284" spans="2:9" ht="14.25" x14ac:dyDescent="0.15">
      <c r="B1284" s="29"/>
      <c r="C1284" s="29"/>
      <c r="G1284" s="13"/>
      <c r="I1284" s="13"/>
    </row>
    <row r="1285" spans="2:9" ht="14.25" x14ac:dyDescent="0.15">
      <c r="B1285" s="29"/>
      <c r="C1285" s="29"/>
      <c r="G1285" s="13"/>
      <c r="I1285" s="13"/>
    </row>
    <row r="1286" spans="2:9" ht="14.25" x14ac:dyDescent="0.15">
      <c r="B1286" s="29"/>
      <c r="C1286" s="29"/>
      <c r="G1286" s="13"/>
      <c r="I1286" s="13"/>
    </row>
    <row r="1287" spans="2:9" ht="14.25" x14ac:dyDescent="0.15">
      <c r="B1287" s="29"/>
      <c r="C1287" s="29"/>
      <c r="G1287" s="13"/>
      <c r="I1287" s="13"/>
    </row>
    <row r="1288" spans="2:9" ht="14.25" x14ac:dyDescent="0.15">
      <c r="B1288" s="29"/>
      <c r="C1288" s="29"/>
      <c r="G1288" s="13"/>
      <c r="I1288" s="13"/>
    </row>
    <row r="1289" spans="2:9" ht="14.25" x14ac:dyDescent="0.15">
      <c r="B1289" s="29"/>
      <c r="C1289" s="29"/>
      <c r="G1289" s="13"/>
      <c r="I1289" s="13"/>
    </row>
    <row r="1290" spans="2:9" ht="14.25" x14ac:dyDescent="0.15">
      <c r="B1290" s="29"/>
      <c r="C1290" s="29"/>
      <c r="G1290" s="13"/>
      <c r="I1290" s="13"/>
    </row>
    <row r="1291" spans="2:9" ht="14.25" x14ac:dyDescent="0.15">
      <c r="B1291" s="29"/>
      <c r="C1291" s="29"/>
      <c r="G1291" s="13"/>
      <c r="I1291" s="13"/>
    </row>
    <row r="1292" spans="2:9" ht="14.25" x14ac:dyDescent="0.15">
      <c r="B1292" s="29"/>
      <c r="C1292" s="29"/>
      <c r="G1292" s="13"/>
      <c r="I1292" s="13"/>
    </row>
    <row r="1293" spans="2:9" ht="14.25" x14ac:dyDescent="0.15">
      <c r="B1293" s="29"/>
      <c r="C1293" s="29"/>
      <c r="G1293" s="13"/>
      <c r="I1293" s="13"/>
    </row>
    <row r="1294" spans="2:9" ht="14.25" x14ac:dyDescent="0.15">
      <c r="B1294" s="29"/>
      <c r="C1294" s="29"/>
      <c r="G1294" s="13"/>
      <c r="I1294" s="13"/>
    </row>
    <row r="1295" spans="2:9" ht="14.25" x14ac:dyDescent="0.15">
      <c r="B1295" s="29"/>
      <c r="C1295" s="29"/>
      <c r="G1295" s="13"/>
      <c r="I1295" s="13"/>
    </row>
    <row r="1296" spans="2:9" ht="14.25" x14ac:dyDescent="0.15">
      <c r="B1296" s="29"/>
      <c r="C1296" s="29"/>
      <c r="G1296" s="13"/>
      <c r="I1296" s="13"/>
    </row>
    <row r="1297" spans="2:9" ht="14.25" x14ac:dyDescent="0.15">
      <c r="B1297" s="29"/>
      <c r="C1297" s="29"/>
      <c r="G1297" s="13"/>
      <c r="I1297" s="13"/>
    </row>
    <row r="1298" spans="2:9" ht="14.25" x14ac:dyDescent="0.15">
      <c r="B1298" s="29"/>
      <c r="C1298" s="29"/>
      <c r="G1298" s="13"/>
      <c r="I1298" s="13"/>
    </row>
    <row r="1299" spans="2:9" ht="14.25" x14ac:dyDescent="0.15">
      <c r="B1299" s="29"/>
      <c r="C1299" s="29"/>
      <c r="G1299" s="13"/>
      <c r="I1299" s="13"/>
    </row>
    <row r="1300" spans="2:9" ht="14.25" x14ac:dyDescent="0.15">
      <c r="B1300" s="29"/>
      <c r="C1300" s="29"/>
      <c r="G1300" s="13"/>
      <c r="I1300" s="13"/>
    </row>
    <row r="1301" spans="2:9" ht="14.25" x14ac:dyDescent="0.15">
      <c r="B1301" s="29"/>
      <c r="C1301" s="29"/>
      <c r="G1301" s="13"/>
      <c r="I1301" s="13"/>
    </row>
    <row r="1302" spans="2:9" ht="14.25" x14ac:dyDescent="0.15">
      <c r="B1302" s="29"/>
      <c r="C1302" s="29"/>
      <c r="G1302" s="13"/>
      <c r="I1302" s="13"/>
    </row>
    <row r="1303" spans="2:9" ht="14.25" x14ac:dyDescent="0.15">
      <c r="B1303" s="29"/>
      <c r="C1303" s="29"/>
      <c r="G1303" s="13"/>
      <c r="I1303" s="13"/>
    </row>
    <row r="1304" spans="2:9" ht="14.25" x14ac:dyDescent="0.15">
      <c r="B1304" s="29"/>
      <c r="C1304" s="29"/>
      <c r="G1304" s="13"/>
      <c r="I1304" s="13"/>
    </row>
    <row r="1305" spans="2:9" ht="14.25" x14ac:dyDescent="0.15">
      <c r="B1305" s="29"/>
      <c r="C1305" s="29"/>
      <c r="G1305" s="13"/>
      <c r="I1305" s="13"/>
    </row>
    <row r="1306" spans="2:9" ht="14.25" x14ac:dyDescent="0.15">
      <c r="B1306" s="29"/>
      <c r="C1306" s="29"/>
      <c r="G1306" s="13"/>
      <c r="I1306" s="13"/>
    </row>
    <row r="1307" spans="2:9" ht="14.25" x14ac:dyDescent="0.15">
      <c r="B1307" s="29"/>
      <c r="C1307" s="29"/>
      <c r="G1307" s="13"/>
      <c r="I1307" s="13"/>
    </row>
    <row r="1308" spans="2:9" ht="14.25" x14ac:dyDescent="0.15">
      <c r="B1308" s="29"/>
      <c r="C1308" s="29"/>
      <c r="G1308" s="13"/>
      <c r="I1308" s="13"/>
    </row>
    <row r="1309" spans="2:9" ht="14.25" x14ac:dyDescent="0.15">
      <c r="B1309" s="29"/>
      <c r="C1309" s="29"/>
      <c r="G1309" s="13"/>
      <c r="I1309" s="13"/>
    </row>
    <row r="1310" spans="2:9" ht="14.25" x14ac:dyDescent="0.15">
      <c r="B1310" s="29"/>
      <c r="C1310" s="29"/>
      <c r="G1310" s="13"/>
      <c r="I1310" s="13"/>
    </row>
    <row r="1311" spans="2:9" ht="14.25" x14ac:dyDescent="0.15">
      <c r="B1311" s="29"/>
      <c r="C1311" s="29"/>
      <c r="G1311" s="13"/>
      <c r="I1311" s="13"/>
    </row>
    <row r="1312" spans="2:9" ht="14.25" x14ac:dyDescent="0.15">
      <c r="B1312" s="29"/>
      <c r="C1312" s="29"/>
      <c r="G1312" s="13"/>
      <c r="I1312" s="13"/>
    </row>
    <row r="1313" spans="2:9" ht="14.25" x14ac:dyDescent="0.15">
      <c r="B1313" s="29"/>
      <c r="C1313" s="29"/>
      <c r="G1313" s="13"/>
      <c r="I1313" s="13"/>
    </row>
    <row r="1314" spans="2:9" ht="14.25" x14ac:dyDescent="0.15">
      <c r="B1314" s="29"/>
      <c r="C1314" s="29"/>
      <c r="G1314" s="13"/>
      <c r="I1314" s="13"/>
    </row>
    <row r="1315" spans="2:9" ht="14.25" x14ac:dyDescent="0.15">
      <c r="B1315" s="29"/>
      <c r="C1315" s="29"/>
      <c r="G1315" s="13"/>
      <c r="I1315" s="13"/>
    </row>
    <row r="1316" spans="2:9" ht="14.25" x14ac:dyDescent="0.15">
      <c r="B1316" s="29"/>
      <c r="C1316" s="29"/>
      <c r="G1316" s="13"/>
      <c r="I1316" s="13"/>
    </row>
    <row r="1317" spans="2:9" ht="14.25" x14ac:dyDescent="0.15">
      <c r="B1317" s="29"/>
      <c r="C1317" s="29"/>
      <c r="G1317" s="13"/>
      <c r="I1317" s="13"/>
    </row>
    <row r="1318" spans="2:9" ht="14.25" x14ac:dyDescent="0.15">
      <c r="B1318" s="29"/>
      <c r="C1318" s="29"/>
      <c r="G1318" s="13"/>
      <c r="I1318" s="13"/>
    </row>
    <row r="1319" spans="2:9" ht="14.25" x14ac:dyDescent="0.15">
      <c r="B1319" s="29"/>
      <c r="C1319" s="29"/>
      <c r="G1319" s="13"/>
      <c r="I1319" s="13"/>
    </row>
    <row r="1320" spans="2:9" ht="14.25" x14ac:dyDescent="0.15">
      <c r="B1320" s="29"/>
      <c r="C1320" s="29"/>
      <c r="G1320" s="13"/>
      <c r="I1320" s="13"/>
    </row>
    <row r="1321" spans="2:9" ht="14.25" x14ac:dyDescent="0.15">
      <c r="B1321" s="29"/>
      <c r="C1321" s="29"/>
      <c r="G1321" s="13"/>
      <c r="I1321" s="13"/>
    </row>
    <row r="1322" spans="2:9" ht="14.25" x14ac:dyDescent="0.15">
      <c r="B1322" s="29"/>
      <c r="C1322" s="29"/>
      <c r="G1322" s="13"/>
      <c r="I1322" s="13"/>
    </row>
    <row r="1323" spans="2:9" ht="14.25" x14ac:dyDescent="0.15">
      <c r="B1323" s="29"/>
      <c r="C1323" s="29"/>
      <c r="G1323" s="13"/>
      <c r="I1323" s="13"/>
    </row>
    <row r="1324" spans="2:9" ht="14.25" x14ac:dyDescent="0.15">
      <c r="B1324" s="29"/>
      <c r="C1324" s="29"/>
      <c r="G1324" s="13"/>
      <c r="I1324" s="13"/>
    </row>
    <row r="1325" spans="2:9" ht="14.25" x14ac:dyDescent="0.15">
      <c r="B1325" s="29"/>
      <c r="C1325" s="29"/>
      <c r="G1325" s="13"/>
      <c r="I1325" s="13"/>
    </row>
    <row r="1326" spans="2:9" ht="14.25" x14ac:dyDescent="0.15">
      <c r="B1326" s="29"/>
      <c r="C1326" s="29"/>
      <c r="G1326" s="13"/>
      <c r="I1326" s="13"/>
    </row>
    <row r="1327" spans="2:9" ht="14.25" x14ac:dyDescent="0.15">
      <c r="B1327" s="29"/>
      <c r="C1327" s="29"/>
      <c r="G1327" s="13"/>
      <c r="I1327" s="13"/>
    </row>
    <row r="1328" spans="2:9" ht="14.25" x14ac:dyDescent="0.15">
      <c r="B1328" s="29"/>
      <c r="C1328" s="29"/>
      <c r="G1328" s="13"/>
      <c r="I1328" s="13"/>
    </row>
    <row r="1329" spans="2:9" ht="14.25" x14ac:dyDescent="0.15">
      <c r="B1329" s="29"/>
      <c r="C1329" s="29"/>
      <c r="G1329" s="13"/>
      <c r="I1329" s="13"/>
    </row>
    <row r="1330" spans="2:9" ht="14.25" x14ac:dyDescent="0.15">
      <c r="B1330" s="29"/>
      <c r="C1330" s="29"/>
      <c r="G1330" s="13"/>
      <c r="I1330" s="13"/>
    </row>
    <row r="1331" spans="2:9" ht="14.25" x14ac:dyDescent="0.15">
      <c r="B1331" s="29"/>
      <c r="C1331" s="29"/>
      <c r="G1331" s="13"/>
      <c r="I1331" s="13"/>
    </row>
    <row r="1332" spans="2:9" ht="14.25" x14ac:dyDescent="0.15">
      <c r="B1332" s="29"/>
      <c r="C1332" s="29"/>
      <c r="G1332" s="13"/>
      <c r="I1332" s="13"/>
    </row>
    <row r="1333" spans="2:9" ht="14.25" x14ac:dyDescent="0.15">
      <c r="B1333" s="29"/>
      <c r="C1333" s="29"/>
      <c r="G1333" s="13"/>
      <c r="I1333" s="13"/>
    </row>
    <row r="1334" spans="2:9" ht="14.25" x14ac:dyDescent="0.15">
      <c r="B1334" s="29"/>
      <c r="C1334" s="29"/>
      <c r="G1334" s="13"/>
      <c r="I1334" s="13"/>
    </row>
    <row r="1335" spans="2:9" ht="14.25" x14ac:dyDescent="0.15">
      <c r="B1335" s="29"/>
      <c r="C1335" s="29"/>
      <c r="G1335" s="13"/>
      <c r="I1335" s="13"/>
    </row>
    <row r="1336" spans="2:9" ht="14.25" x14ac:dyDescent="0.15">
      <c r="B1336" s="29"/>
      <c r="C1336" s="29"/>
      <c r="G1336" s="13"/>
      <c r="I1336" s="13"/>
    </row>
    <row r="1337" spans="2:9" ht="14.25" x14ac:dyDescent="0.15">
      <c r="B1337" s="29"/>
      <c r="C1337" s="29"/>
      <c r="G1337" s="13"/>
      <c r="I1337" s="13"/>
    </row>
    <row r="1338" spans="2:9" ht="14.25" x14ac:dyDescent="0.15">
      <c r="B1338" s="29"/>
      <c r="C1338" s="29"/>
      <c r="G1338" s="13"/>
      <c r="I1338" s="13"/>
    </row>
    <row r="1339" spans="2:9" ht="14.25" x14ac:dyDescent="0.15">
      <c r="B1339" s="29"/>
      <c r="C1339" s="29"/>
      <c r="G1339" s="13"/>
      <c r="I1339" s="13"/>
    </row>
    <row r="1340" spans="2:9" ht="14.25" x14ac:dyDescent="0.15">
      <c r="B1340" s="29"/>
      <c r="C1340" s="29"/>
      <c r="G1340" s="13"/>
      <c r="I1340" s="13"/>
    </row>
    <row r="1341" spans="2:9" ht="14.25" x14ac:dyDescent="0.15">
      <c r="B1341" s="29"/>
      <c r="C1341" s="29"/>
      <c r="G1341" s="13"/>
      <c r="I1341" s="13"/>
    </row>
    <row r="1342" spans="2:9" ht="14.25" x14ac:dyDescent="0.15">
      <c r="B1342" s="29"/>
      <c r="C1342" s="29"/>
      <c r="G1342" s="13"/>
      <c r="I1342" s="13"/>
    </row>
    <row r="1343" spans="2:9" ht="14.25" x14ac:dyDescent="0.15">
      <c r="B1343" s="29"/>
      <c r="C1343" s="29"/>
      <c r="G1343" s="13"/>
      <c r="I1343" s="13"/>
    </row>
    <row r="1344" spans="2:9" ht="14.25" x14ac:dyDescent="0.15">
      <c r="B1344" s="29"/>
      <c r="C1344" s="29"/>
      <c r="G1344" s="13"/>
      <c r="I1344" s="13"/>
    </row>
    <row r="1345" spans="2:9" ht="14.25" x14ac:dyDescent="0.15">
      <c r="B1345" s="29"/>
      <c r="C1345" s="29"/>
      <c r="G1345" s="13"/>
      <c r="I1345" s="13"/>
    </row>
    <row r="1346" spans="2:9" ht="14.25" x14ac:dyDescent="0.15">
      <c r="B1346" s="29"/>
      <c r="C1346" s="29"/>
      <c r="G1346" s="13"/>
      <c r="I1346" s="13"/>
    </row>
    <row r="1347" spans="2:9" ht="14.25" x14ac:dyDescent="0.15">
      <c r="B1347" s="29"/>
      <c r="C1347" s="29"/>
      <c r="G1347" s="13"/>
      <c r="I1347" s="13"/>
    </row>
    <row r="1348" spans="2:9" ht="14.25" x14ac:dyDescent="0.15">
      <c r="B1348" s="29"/>
      <c r="C1348" s="29"/>
      <c r="G1348" s="13"/>
      <c r="I1348" s="13"/>
    </row>
    <row r="1349" spans="2:9" ht="14.25" x14ac:dyDescent="0.15">
      <c r="B1349" s="29"/>
      <c r="C1349" s="29"/>
      <c r="G1349" s="13"/>
      <c r="I1349" s="13"/>
    </row>
    <row r="1350" spans="2:9" ht="14.25" x14ac:dyDescent="0.15">
      <c r="B1350" s="29"/>
      <c r="C1350" s="29"/>
      <c r="G1350" s="13"/>
      <c r="I1350" s="13"/>
    </row>
    <row r="1351" spans="2:9" ht="14.25" x14ac:dyDescent="0.15">
      <c r="B1351" s="29"/>
      <c r="C1351" s="29"/>
      <c r="G1351" s="13"/>
      <c r="I1351" s="13"/>
    </row>
    <row r="1352" spans="2:9" ht="14.25" x14ac:dyDescent="0.15">
      <c r="B1352" s="29"/>
      <c r="C1352" s="29"/>
      <c r="G1352" s="13"/>
      <c r="I1352" s="13"/>
    </row>
    <row r="1353" spans="2:9" ht="14.25" x14ac:dyDescent="0.15">
      <c r="B1353" s="29"/>
      <c r="C1353" s="29"/>
      <c r="G1353" s="13"/>
      <c r="I1353" s="13"/>
    </row>
    <row r="1354" spans="2:9" ht="14.25" x14ac:dyDescent="0.15">
      <c r="B1354" s="29"/>
      <c r="C1354" s="29"/>
      <c r="G1354" s="13"/>
      <c r="I1354" s="13"/>
    </row>
    <row r="1355" spans="2:9" ht="14.25" x14ac:dyDescent="0.15">
      <c r="B1355" s="29"/>
      <c r="C1355" s="29"/>
      <c r="G1355" s="13"/>
      <c r="I1355" s="13"/>
    </row>
    <row r="1356" spans="2:9" ht="14.25" x14ac:dyDescent="0.15">
      <c r="B1356" s="29"/>
      <c r="C1356" s="29"/>
      <c r="G1356" s="13"/>
      <c r="I1356" s="13"/>
    </row>
    <row r="1357" spans="2:9" ht="14.25" x14ac:dyDescent="0.15">
      <c r="B1357" s="29"/>
      <c r="C1357" s="29"/>
      <c r="G1357" s="13"/>
      <c r="I1357" s="13"/>
    </row>
    <row r="1358" spans="2:9" ht="14.25" x14ac:dyDescent="0.15">
      <c r="B1358" s="29"/>
      <c r="C1358" s="29"/>
      <c r="G1358" s="13"/>
      <c r="I1358" s="13"/>
    </row>
    <row r="1359" spans="2:9" ht="14.25" x14ac:dyDescent="0.15">
      <c r="B1359" s="29"/>
      <c r="C1359" s="29"/>
      <c r="G1359" s="13"/>
      <c r="I1359" s="13"/>
    </row>
    <row r="1360" spans="2:9" ht="14.25" x14ac:dyDescent="0.15">
      <c r="B1360" s="29"/>
      <c r="C1360" s="29"/>
      <c r="G1360" s="13"/>
      <c r="I1360" s="13"/>
    </row>
    <row r="1361" spans="2:9" ht="14.25" x14ac:dyDescent="0.15">
      <c r="B1361" s="29"/>
      <c r="C1361" s="29"/>
      <c r="G1361" s="13"/>
      <c r="I1361" s="13"/>
    </row>
    <row r="1362" spans="2:9" ht="14.25" x14ac:dyDescent="0.15">
      <c r="B1362" s="29"/>
      <c r="C1362" s="29"/>
      <c r="G1362" s="13"/>
      <c r="I1362" s="13"/>
    </row>
    <row r="1363" spans="2:9" ht="14.25" x14ac:dyDescent="0.15">
      <c r="B1363" s="29"/>
      <c r="C1363" s="29"/>
      <c r="G1363" s="13"/>
      <c r="I1363" s="13"/>
    </row>
    <row r="1364" spans="2:9" ht="14.25" x14ac:dyDescent="0.15">
      <c r="B1364" s="29"/>
      <c r="C1364" s="29"/>
      <c r="G1364" s="13"/>
      <c r="I1364" s="13"/>
    </row>
    <row r="1365" spans="2:9" ht="14.25" x14ac:dyDescent="0.15">
      <c r="B1365" s="29"/>
      <c r="C1365" s="29"/>
      <c r="G1365" s="13"/>
      <c r="I1365" s="13"/>
    </row>
    <row r="1366" spans="2:9" ht="14.25" x14ac:dyDescent="0.15">
      <c r="B1366" s="29"/>
      <c r="C1366" s="29"/>
      <c r="G1366" s="13"/>
      <c r="I1366" s="13"/>
    </row>
    <row r="1367" spans="2:9" ht="14.25" x14ac:dyDescent="0.15">
      <c r="B1367" s="29"/>
      <c r="C1367" s="29"/>
      <c r="G1367" s="13"/>
      <c r="I1367" s="13"/>
    </row>
    <row r="1368" spans="2:9" ht="14.25" x14ac:dyDescent="0.15">
      <c r="B1368" s="29"/>
      <c r="C1368" s="29"/>
      <c r="G1368" s="13"/>
      <c r="I1368" s="13"/>
    </row>
    <row r="1369" spans="2:9" ht="14.25" x14ac:dyDescent="0.15">
      <c r="B1369" s="29"/>
      <c r="C1369" s="29"/>
      <c r="G1369" s="13"/>
      <c r="I1369" s="13"/>
    </row>
    <row r="1370" spans="2:9" ht="14.25" x14ac:dyDescent="0.15">
      <c r="B1370" s="29"/>
      <c r="C1370" s="29"/>
      <c r="G1370" s="13"/>
      <c r="I1370" s="13"/>
    </row>
    <row r="1371" spans="2:9" ht="14.25" x14ac:dyDescent="0.15">
      <c r="B1371" s="29"/>
      <c r="C1371" s="29"/>
      <c r="G1371" s="13"/>
      <c r="I1371" s="13"/>
    </row>
    <row r="1372" spans="2:9" ht="14.25" x14ac:dyDescent="0.15">
      <c r="B1372" s="29"/>
      <c r="C1372" s="29"/>
      <c r="G1372" s="13"/>
      <c r="I1372" s="13"/>
    </row>
    <row r="1373" spans="2:9" ht="14.25" x14ac:dyDescent="0.15">
      <c r="B1373" s="29"/>
      <c r="C1373" s="29"/>
      <c r="G1373" s="13"/>
      <c r="I1373" s="13"/>
    </row>
    <row r="1374" spans="2:9" ht="14.25" x14ac:dyDescent="0.15">
      <c r="B1374" s="29"/>
      <c r="C1374" s="29"/>
      <c r="G1374" s="13"/>
      <c r="I1374" s="13"/>
    </row>
    <row r="1375" spans="2:9" ht="14.25" x14ac:dyDescent="0.15">
      <c r="B1375" s="29"/>
      <c r="C1375" s="29"/>
      <c r="G1375" s="13"/>
      <c r="I1375" s="13"/>
    </row>
    <row r="1376" spans="2:9" ht="14.25" x14ac:dyDescent="0.15">
      <c r="B1376" s="29"/>
      <c r="C1376" s="29"/>
      <c r="G1376" s="13"/>
      <c r="I1376" s="13"/>
    </row>
    <row r="1377" spans="2:9" ht="14.25" x14ac:dyDescent="0.15">
      <c r="B1377" s="29"/>
      <c r="C1377" s="29"/>
      <c r="G1377" s="13"/>
      <c r="I1377" s="13"/>
    </row>
    <row r="1378" spans="2:9" ht="14.25" x14ac:dyDescent="0.15">
      <c r="B1378" s="29"/>
      <c r="C1378" s="29"/>
      <c r="G1378" s="13"/>
      <c r="I1378" s="13"/>
    </row>
    <row r="1379" spans="2:9" ht="14.25" x14ac:dyDescent="0.15">
      <c r="B1379" s="29"/>
      <c r="C1379" s="29"/>
      <c r="G1379" s="13"/>
      <c r="I1379" s="13"/>
    </row>
    <row r="1380" spans="2:9" ht="14.25" x14ac:dyDescent="0.15">
      <c r="B1380" s="29"/>
      <c r="C1380" s="29"/>
      <c r="G1380" s="13"/>
      <c r="I1380" s="13"/>
    </row>
    <row r="1381" spans="2:9" ht="14.25" x14ac:dyDescent="0.15">
      <c r="B1381" s="29"/>
      <c r="C1381" s="29"/>
      <c r="G1381" s="13"/>
      <c r="I1381" s="13"/>
    </row>
    <row r="1382" spans="2:9" ht="14.25" x14ac:dyDescent="0.15">
      <c r="B1382" s="29"/>
      <c r="C1382" s="29"/>
      <c r="G1382" s="13"/>
      <c r="I1382" s="13"/>
    </row>
    <row r="1383" spans="2:9" ht="14.25" x14ac:dyDescent="0.15">
      <c r="B1383" s="29"/>
      <c r="C1383" s="29"/>
      <c r="G1383" s="13"/>
      <c r="I1383" s="13"/>
    </row>
    <row r="1384" spans="2:9" ht="14.25" x14ac:dyDescent="0.15">
      <c r="B1384" s="29"/>
      <c r="C1384" s="29"/>
      <c r="G1384" s="13"/>
      <c r="I1384" s="13"/>
    </row>
    <row r="1385" spans="2:9" ht="14.25" x14ac:dyDescent="0.15">
      <c r="B1385" s="29"/>
      <c r="C1385" s="29"/>
      <c r="G1385" s="13"/>
      <c r="I1385" s="13"/>
    </row>
    <row r="1386" spans="2:9" ht="14.25" x14ac:dyDescent="0.15">
      <c r="B1386" s="29"/>
      <c r="C1386" s="29"/>
      <c r="G1386" s="13"/>
      <c r="I1386" s="13"/>
    </row>
    <row r="1387" spans="2:9" ht="14.25" x14ac:dyDescent="0.15">
      <c r="B1387" s="29"/>
      <c r="C1387" s="29"/>
      <c r="G1387" s="13"/>
      <c r="I1387" s="13"/>
    </row>
    <row r="1388" spans="2:9" ht="14.25" x14ac:dyDescent="0.15">
      <c r="B1388" s="29"/>
      <c r="C1388" s="29"/>
      <c r="G1388" s="13"/>
      <c r="I1388" s="13"/>
    </row>
    <row r="1389" spans="2:9" ht="14.25" x14ac:dyDescent="0.15">
      <c r="B1389" s="29"/>
      <c r="C1389" s="29"/>
      <c r="G1389" s="13"/>
      <c r="I1389" s="13"/>
    </row>
    <row r="1390" spans="2:9" ht="14.25" x14ac:dyDescent="0.15">
      <c r="B1390" s="29"/>
      <c r="C1390" s="29"/>
      <c r="G1390" s="13"/>
      <c r="I1390" s="13"/>
    </row>
    <row r="1391" spans="2:9" ht="14.25" x14ac:dyDescent="0.15">
      <c r="B1391" s="29"/>
      <c r="C1391" s="29"/>
      <c r="G1391" s="13"/>
      <c r="I1391" s="13"/>
    </row>
    <row r="1392" spans="2:9" ht="14.25" x14ac:dyDescent="0.15">
      <c r="B1392" s="29"/>
      <c r="C1392" s="29"/>
      <c r="G1392" s="13"/>
      <c r="I1392" s="13"/>
    </row>
    <row r="1393" spans="2:9" ht="14.25" x14ac:dyDescent="0.15">
      <c r="B1393" s="29"/>
      <c r="C1393" s="29"/>
      <c r="G1393" s="13"/>
      <c r="I1393" s="13"/>
    </row>
    <row r="1394" spans="2:9" ht="14.25" x14ac:dyDescent="0.15">
      <c r="B1394" s="29"/>
      <c r="C1394" s="29"/>
      <c r="G1394" s="13"/>
      <c r="I1394" s="13"/>
    </row>
    <row r="1395" spans="2:9" ht="14.25" x14ac:dyDescent="0.15">
      <c r="B1395" s="29"/>
      <c r="C1395" s="29"/>
      <c r="G1395" s="13"/>
      <c r="I1395" s="13"/>
    </row>
    <row r="1396" spans="2:9" ht="14.25" x14ac:dyDescent="0.15">
      <c r="B1396" s="29"/>
      <c r="C1396" s="29"/>
      <c r="G1396" s="13"/>
      <c r="I1396" s="13"/>
    </row>
    <row r="1397" spans="2:9" ht="14.25" x14ac:dyDescent="0.15">
      <c r="B1397" s="29"/>
      <c r="C1397" s="29"/>
      <c r="G1397" s="13"/>
      <c r="I1397" s="13"/>
    </row>
  </sheetData>
  <autoFilter ref="I1:I1397"/>
  <phoneticPr fontId="5"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54"/>
  <sheetViews>
    <sheetView topLeftCell="A22" workbookViewId="0">
      <selection activeCell="F7" sqref="F7:F54"/>
    </sheetView>
  </sheetViews>
  <sheetFormatPr defaultColWidth="9" defaultRowHeight="13.5" x14ac:dyDescent="0.15"/>
  <sheetData>
    <row r="1" spans="1:17" s="1" customFormat="1" ht="14.25" x14ac:dyDescent="0.15">
      <c r="A1" s="2" t="s">
        <v>0</v>
      </c>
      <c r="B1" s="3" t="s">
        <v>1</v>
      </c>
      <c r="C1" s="4" t="s">
        <v>2</v>
      </c>
      <c r="D1" s="4" t="s">
        <v>3</v>
      </c>
      <c r="E1" s="4" t="s">
        <v>5</v>
      </c>
      <c r="F1" s="4" t="s">
        <v>6</v>
      </c>
      <c r="G1" s="4" t="s">
        <v>301</v>
      </c>
      <c r="H1" s="3" t="s">
        <v>7</v>
      </c>
      <c r="I1" s="4" t="s">
        <v>302</v>
      </c>
      <c r="J1" s="4" t="s">
        <v>303</v>
      </c>
      <c r="K1" s="4" t="s">
        <v>4</v>
      </c>
      <c r="L1" s="4" t="s">
        <v>8</v>
      </c>
      <c r="M1" s="1" t="s">
        <v>10</v>
      </c>
      <c r="N1" s="3" t="s">
        <v>304</v>
      </c>
      <c r="O1" s="4" t="s">
        <v>13</v>
      </c>
      <c r="P1" s="4" t="s">
        <v>14</v>
      </c>
      <c r="Q1" s="1" t="s">
        <v>305</v>
      </c>
    </row>
    <row r="2" spans="1:17" s="1" customFormat="1" ht="14.25" x14ac:dyDescent="0.15">
      <c r="A2" s="2" t="s">
        <v>16</v>
      </c>
      <c r="B2" s="2" t="s">
        <v>16</v>
      </c>
      <c r="C2" s="2" t="s">
        <v>16</v>
      </c>
      <c r="D2" s="2" t="s">
        <v>16</v>
      </c>
      <c r="E2" s="2" t="s">
        <v>16</v>
      </c>
      <c r="F2" s="2" t="s">
        <v>16</v>
      </c>
      <c r="G2" s="2" t="s">
        <v>16</v>
      </c>
      <c r="H2" s="5" t="s">
        <v>16</v>
      </c>
      <c r="I2" s="2" t="s">
        <v>16</v>
      </c>
      <c r="J2" s="2" t="s">
        <v>16</v>
      </c>
      <c r="K2" s="2" t="s">
        <v>16</v>
      </c>
      <c r="L2" s="2" t="s">
        <v>16</v>
      </c>
      <c r="M2" s="2" t="s">
        <v>16</v>
      </c>
      <c r="N2" s="5" t="s">
        <v>16</v>
      </c>
      <c r="O2" s="2" t="s">
        <v>16</v>
      </c>
      <c r="P2" s="2" t="s">
        <v>16</v>
      </c>
      <c r="Q2" s="1" t="s">
        <v>16</v>
      </c>
    </row>
    <row r="3" spans="1:17" s="1" customFormat="1" ht="14.25" x14ac:dyDescent="0.15">
      <c r="A3" s="2" t="s">
        <v>306</v>
      </c>
      <c r="B3" s="3" t="s">
        <v>17</v>
      </c>
      <c r="C3" s="4" t="s">
        <v>307</v>
      </c>
      <c r="D3" s="4" t="s">
        <v>308</v>
      </c>
      <c r="E3" s="4" t="s">
        <v>309</v>
      </c>
      <c r="F3" s="4" t="s">
        <v>22</v>
      </c>
      <c r="G3" s="4" t="s">
        <v>310</v>
      </c>
      <c r="H3" s="3" t="s">
        <v>23</v>
      </c>
      <c r="I3" s="4" t="s">
        <v>311</v>
      </c>
      <c r="J3" s="4" t="s">
        <v>312</v>
      </c>
      <c r="K3" s="4" t="s">
        <v>20</v>
      </c>
      <c r="L3" s="4" t="s">
        <v>24</v>
      </c>
      <c r="M3" s="1" t="s">
        <v>26</v>
      </c>
      <c r="N3" s="3" t="s">
        <v>313</v>
      </c>
      <c r="O3" s="1" t="s">
        <v>314</v>
      </c>
      <c r="P3" s="1" t="s">
        <v>315</v>
      </c>
      <c r="Q3" s="1" t="s">
        <v>316</v>
      </c>
    </row>
    <row r="4" spans="1:17" s="1" customFormat="1" ht="14.25" x14ac:dyDescent="0.15">
      <c r="A4" s="2" t="s">
        <v>32</v>
      </c>
      <c r="B4" s="3" t="s">
        <v>33</v>
      </c>
      <c r="C4" s="4" t="s">
        <v>33</v>
      </c>
      <c r="D4" s="4" t="s">
        <v>32</v>
      </c>
      <c r="E4" s="4" t="s">
        <v>32</v>
      </c>
      <c r="F4" s="4" t="s">
        <v>32</v>
      </c>
      <c r="G4" s="4" t="s">
        <v>32</v>
      </c>
      <c r="H4" s="3" t="s">
        <v>35</v>
      </c>
      <c r="I4" s="4" t="s">
        <v>32</v>
      </c>
      <c r="J4" s="4" t="s">
        <v>32</v>
      </c>
      <c r="K4" s="4" t="s">
        <v>32</v>
      </c>
      <c r="L4" s="4" t="s">
        <v>32</v>
      </c>
      <c r="M4" s="1" t="s">
        <v>32</v>
      </c>
      <c r="N4" s="3" t="s">
        <v>35</v>
      </c>
      <c r="O4" s="1" t="s">
        <v>33</v>
      </c>
      <c r="P4" s="1" t="s">
        <v>35</v>
      </c>
      <c r="Q4" s="1" t="s">
        <v>35</v>
      </c>
    </row>
    <row r="7" spans="1:17" ht="16.5" x14ac:dyDescent="0.35">
      <c r="D7" s="31">
        <v>7</v>
      </c>
      <c r="E7" s="31">
        <v>2401</v>
      </c>
      <c r="F7" s="31">
        <v>7</v>
      </c>
    </row>
    <row r="8" spans="1:17" ht="16.5" x14ac:dyDescent="0.35">
      <c r="D8" s="31">
        <v>7</v>
      </c>
      <c r="E8" s="31">
        <v>2402</v>
      </c>
      <c r="F8" s="31">
        <v>7</v>
      </c>
    </row>
    <row r="9" spans="1:17" ht="16.5" x14ac:dyDescent="0.35">
      <c r="D9" s="31">
        <v>7</v>
      </c>
      <c r="E9" s="31">
        <v>2403</v>
      </c>
      <c r="F9" s="31">
        <v>7</v>
      </c>
    </row>
    <row r="10" spans="1:17" ht="16.5" x14ac:dyDescent="0.35">
      <c r="D10" s="31">
        <v>6</v>
      </c>
      <c r="E10" s="31">
        <v>2404</v>
      </c>
      <c r="F10" s="31">
        <v>6</v>
      </c>
    </row>
    <row r="11" spans="1:17" ht="16.5" x14ac:dyDescent="0.35">
      <c r="D11" s="31">
        <v>6</v>
      </c>
      <c r="E11" s="31">
        <v>2405</v>
      </c>
      <c r="F11" s="31">
        <v>6</v>
      </c>
    </row>
    <row r="12" spans="1:17" ht="16.5" x14ac:dyDescent="0.35">
      <c r="D12" s="31">
        <v>6</v>
      </c>
      <c r="E12" s="31">
        <v>2406</v>
      </c>
      <c r="F12" s="31">
        <v>6</v>
      </c>
    </row>
    <row r="13" spans="1:17" ht="16.5" x14ac:dyDescent="0.35">
      <c r="D13" s="31">
        <v>5</v>
      </c>
      <c r="E13" s="31">
        <v>2407</v>
      </c>
      <c r="F13" s="31">
        <v>5</v>
      </c>
    </row>
    <row r="14" spans="1:17" ht="16.5" x14ac:dyDescent="0.35">
      <c r="D14" s="31">
        <v>5</v>
      </c>
      <c r="E14" s="31">
        <v>2408</v>
      </c>
      <c r="F14" s="31">
        <v>5</v>
      </c>
    </row>
    <row r="15" spans="1:17" ht="16.5" x14ac:dyDescent="0.35">
      <c r="D15" s="31">
        <v>5</v>
      </c>
      <c r="E15" s="31">
        <v>2409</v>
      </c>
      <c r="F15" s="31">
        <v>5</v>
      </c>
    </row>
    <row r="16" spans="1:17" ht="16.5" x14ac:dyDescent="0.35">
      <c r="D16" s="31">
        <v>5</v>
      </c>
      <c r="E16" s="31">
        <v>2410</v>
      </c>
      <c r="F16" s="31">
        <v>5</v>
      </c>
    </row>
    <row r="17" spans="4:6" ht="16.5" x14ac:dyDescent="0.35">
      <c r="D17" s="31">
        <v>5</v>
      </c>
      <c r="E17" s="31">
        <v>2426</v>
      </c>
      <c r="F17" s="31">
        <v>5</v>
      </c>
    </row>
    <row r="18" spans="4:6" ht="16.5" x14ac:dyDescent="0.35">
      <c r="D18" s="31">
        <v>6</v>
      </c>
      <c r="E18" s="31">
        <v>2418</v>
      </c>
      <c r="F18" s="31">
        <v>6</v>
      </c>
    </row>
    <row r="19" spans="4:6" ht="16.5" x14ac:dyDescent="0.35">
      <c r="D19" s="31">
        <v>6</v>
      </c>
      <c r="E19" s="31">
        <v>2419</v>
      </c>
      <c r="F19" s="31">
        <v>6</v>
      </c>
    </row>
    <row r="20" spans="4:6" ht="16.5" x14ac:dyDescent="0.35">
      <c r="D20" s="31">
        <v>6</v>
      </c>
      <c r="E20" s="31">
        <v>2420</v>
      </c>
      <c r="F20" s="31">
        <v>6</v>
      </c>
    </row>
    <row r="21" spans="4:6" ht="16.5" x14ac:dyDescent="0.35">
      <c r="D21" s="31">
        <v>6</v>
      </c>
      <c r="E21" s="31">
        <v>2421</v>
      </c>
      <c r="F21" s="31">
        <v>6</v>
      </c>
    </row>
    <row r="22" spans="4:6" ht="16.5" x14ac:dyDescent="0.35">
      <c r="D22" s="31">
        <v>6</v>
      </c>
      <c r="E22" s="31">
        <v>2422</v>
      </c>
      <c r="F22" s="31">
        <v>6</v>
      </c>
    </row>
    <row r="23" spans="4:6" ht="16.5" x14ac:dyDescent="0.35">
      <c r="D23" s="31">
        <v>5</v>
      </c>
      <c r="E23" s="31">
        <v>2414</v>
      </c>
      <c r="F23" s="31">
        <v>5</v>
      </c>
    </row>
    <row r="24" spans="4:6" ht="16.5" x14ac:dyDescent="0.35">
      <c r="D24" s="31">
        <v>5</v>
      </c>
      <c r="E24" s="31">
        <v>2411</v>
      </c>
      <c r="F24" s="31">
        <v>5</v>
      </c>
    </row>
    <row r="25" spans="4:6" ht="16.5" x14ac:dyDescent="0.35">
      <c r="D25" s="31">
        <v>5</v>
      </c>
      <c r="E25" s="31">
        <v>2412</v>
      </c>
      <c r="F25" s="31">
        <v>5</v>
      </c>
    </row>
    <row r="26" spans="4:6" ht="16.5" x14ac:dyDescent="0.35">
      <c r="D26" s="31">
        <v>5</v>
      </c>
      <c r="E26" s="31">
        <v>2413</v>
      </c>
      <c r="F26" s="31">
        <v>5</v>
      </c>
    </row>
    <row r="27" spans="4:6" ht="16.5" x14ac:dyDescent="0.35">
      <c r="D27" s="31">
        <v>6</v>
      </c>
      <c r="E27" s="31">
        <v>2423</v>
      </c>
      <c r="F27" s="31">
        <v>6</v>
      </c>
    </row>
    <row r="28" spans="4:6" ht="16.5" x14ac:dyDescent="0.35">
      <c r="D28" s="31">
        <v>5</v>
      </c>
      <c r="E28" s="31">
        <v>2425</v>
      </c>
      <c r="F28" s="31">
        <v>5</v>
      </c>
    </row>
    <row r="29" spans="4:6" ht="16.5" x14ac:dyDescent="0.35">
      <c r="D29" s="31">
        <v>5</v>
      </c>
      <c r="E29" s="31">
        <v>2430</v>
      </c>
      <c r="F29" s="31">
        <v>5</v>
      </c>
    </row>
    <row r="30" spans="4:6" ht="16.5" x14ac:dyDescent="0.35">
      <c r="D30" s="31">
        <v>5</v>
      </c>
      <c r="E30" s="32">
        <v>2415</v>
      </c>
      <c r="F30" s="31">
        <v>5</v>
      </c>
    </row>
    <row r="31" spans="4:6" ht="16.5" x14ac:dyDescent="0.35">
      <c r="D31" s="31">
        <v>5</v>
      </c>
      <c r="E31" s="32">
        <v>2416</v>
      </c>
      <c r="F31" s="31">
        <v>5</v>
      </c>
    </row>
    <row r="32" spans="4:6" ht="16.5" x14ac:dyDescent="0.35">
      <c r="D32" s="31">
        <v>5</v>
      </c>
      <c r="E32" s="31">
        <v>2417</v>
      </c>
      <c r="F32" s="31">
        <v>5</v>
      </c>
    </row>
    <row r="33" spans="4:6" ht="16.5" x14ac:dyDescent="0.35">
      <c r="D33" s="31">
        <v>5</v>
      </c>
      <c r="E33" s="31">
        <v>2424</v>
      </c>
      <c r="F33" s="31">
        <v>5</v>
      </c>
    </row>
    <row r="34" spans="4:6" ht="16.5" x14ac:dyDescent="0.35">
      <c r="D34" s="31">
        <v>5</v>
      </c>
      <c r="E34" s="31">
        <v>2428</v>
      </c>
      <c r="F34" s="31">
        <v>5</v>
      </c>
    </row>
    <row r="35" spans="4:6" ht="16.5" x14ac:dyDescent="0.35">
      <c r="D35" s="31">
        <v>5</v>
      </c>
      <c r="E35" s="31">
        <v>2433</v>
      </c>
      <c r="F35" s="31">
        <v>5</v>
      </c>
    </row>
    <row r="36" spans="4:6" ht="16.5" x14ac:dyDescent="0.35">
      <c r="D36" s="31">
        <v>5</v>
      </c>
      <c r="E36" s="31">
        <v>2434</v>
      </c>
      <c r="F36" s="31">
        <v>5</v>
      </c>
    </row>
    <row r="37" spans="4:6" ht="16.5" x14ac:dyDescent="0.35">
      <c r="D37" s="31">
        <v>5</v>
      </c>
      <c r="E37" s="31">
        <v>2435</v>
      </c>
      <c r="F37" s="31">
        <v>5</v>
      </c>
    </row>
    <row r="38" spans="4:6" ht="16.5" x14ac:dyDescent="0.35">
      <c r="D38" s="31">
        <v>5</v>
      </c>
      <c r="E38" s="31">
        <v>2436</v>
      </c>
      <c r="F38" s="31">
        <v>5</v>
      </c>
    </row>
    <row r="39" spans="4:6" ht="16.5" x14ac:dyDescent="0.35">
      <c r="D39" s="31">
        <v>5</v>
      </c>
      <c r="E39" s="31">
        <v>2437</v>
      </c>
      <c r="F39" s="31">
        <v>5</v>
      </c>
    </row>
    <row r="40" spans="4:6" ht="16.5" x14ac:dyDescent="0.35">
      <c r="D40" s="31">
        <v>5</v>
      </c>
      <c r="E40" s="31">
        <v>2438</v>
      </c>
      <c r="F40" s="31">
        <v>5</v>
      </c>
    </row>
    <row r="41" spans="4:6" ht="16.5" x14ac:dyDescent="0.35">
      <c r="D41" s="31">
        <v>5</v>
      </c>
      <c r="E41" s="31">
        <v>2453</v>
      </c>
      <c r="F41" s="31">
        <v>5</v>
      </c>
    </row>
    <row r="42" spans="4:6" ht="16.5" x14ac:dyDescent="0.35">
      <c r="D42" s="31">
        <v>5</v>
      </c>
      <c r="E42" s="31">
        <v>2455</v>
      </c>
      <c r="F42" s="31">
        <v>5</v>
      </c>
    </row>
    <row r="43" spans="4:6" ht="16.5" x14ac:dyDescent="0.35">
      <c r="D43" s="31">
        <v>5</v>
      </c>
      <c r="E43" s="32">
        <v>2456</v>
      </c>
      <c r="F43" s="31">
        <v>5</v>
      </c>
    </row>
    <row r="44" spans="4:6" ht="16.5" x14ac:dyDescent="0.35">
      <c r="D44" s="31">
        <v>5</v>
      </c>
      <c r="E44" s="32">
        <v>2431</v>
      </c>
      <c r="F44" s="31">
        <v>5</v>
      </c>
    </row>
    <row r="45" spans="4:6" ht="16.5" x14ac:dyDescent="0.35">
      <c r="D45" s="31">
        <v>5</v>
      </c>
      <c r="E45" s="31">
        <v>2432</v>
      </c>
      <c r="F45" s="31">
        <v>5</v>
      </c>
    </row>
    <row r="46" spans="4:6" ht="16.5" x14ac:dyDescent="0.35">
      <c r="D46" s="31">
        <v>5</v>
      </c>
      <c r="E46" s="31">
        <v>2440</v>
      </c>
      <c r="F46" s="31">
        <v>5</v>
      </c>
    </row>
    <row r="47" spans="4:6" ht="16.5" x14ac:dyDescent="0.35">
      <c r="D47" s="31">
        <v>4</v>
      </c>
      <c r="E47" s="31">
        <v>2457</v>
      </c>
      <c r="F47" s="31">
        <v>4</v>
      </c>
    </row>
    <row r="48" spans="4:6" ht="16.5" x14ac:dyDescent="0.35">
      <c r="D48" s="31">
        <v>4</v>
      </c>
      <c r="E48" s="31">
        <v>2458</v>
      </c>
      <c r="F48" s="31">
        <v>4</v>
      </c>
    </row>
    <row r="49" spans="4:6" ht="16.5" x14ac:dyDescent="0.35">
      <c r="D49" s="31">
        <v>4</v>
      </c>
      <c r="E49" s="31">
        <v>2427</v>
      </c>
      <c r="F49" s="31">
        <v>4</v>
      </c>
    </row>
    <row r="50" spans="4:6" ht="16.5" x14ac:dyDescent="0.35">
      <c r="D50" s="31">
        <v>5</v>
      </c>
      <c r="E50" s="31">
        <v>2429</v>
      </c>
      <c r="F50" s="31">
        <v>5</v>
      </c>
    </row>
    <row r="51" spans="4:6" ht="16.5" x14ac:dyDescent="0.35">
      <c r="D51" s="31">
        <v>4</v>
      </c>
      <c r="E51" s="31">
        <v>2439</v>
      </c>
      <c r="F51" s="31">
        <v>4</v>
      </c>
    </row>
    <row r="52" spans="4:6" ht="16.5" x14ac:dyDescent="0.35">
      <c r="D52" s="31">
        <v>4</v>
      </c>
      <c r="E52" s="31">
        <v>2450</v>
      </c>
      <c r="F52" s="31">
        <v>4</v>
      </c>
    </row>
    <row r="53" spans="4:6" ht="16.5" x14ac:dyDescent="0.35">
      <c r="D53" s="31">
        <v>7</v>
      </c>
      <c r="E53" s="31">
        <v>2461</v>
      </c>
      <c r="F53" s="31">
        <v>7</v>
      </c>
    </row>
    <row r="54" spans="4:6" ht="16.5" x14ac:dyDescent="0.35">
      <c r="D54" s="31">
        <v>7</v>
      </c>
      <c r="E54" s="31">
        <v>2462</v>
      </c>
      <c r="F54" s="31">
        <v>7</v>
      </c>
    </row>
  </sheetData>
  <phoneticPr fontId="5" type="noConversion"/>
  <conditionalFormatting sqref="D7:D52">
    <cfRule type="cellIs" dxfId="13" priority="13" operator="equal">
      <formula>4</formula>
    </cfRule>
    <cfRule type="cellIs" dxfId="12" priority="14" operator="equal">
      <formula>3</formula>
    </cfRule>
  </conditionalFormatting>
  <conditionalFormatting sqref="D7:D54">
    <cfRule type="cellIs" dxfId="11" priority="10" operator="equal">
      <formula>7</formula>
    </cfRule>
    <cfRule type="cellIs" dxfId="10" priority="11" operator="equal">
      <formula>6</formula>
    </cfRule>
    <cfRule type="cellIs" dxfId="9" priority="12" operator="equal">
      <formula>5</formula>
    </cfRule>
  </conditionalFormatting>
  <conditionalFormatting sqref="D53:D54">
    <cfRule type="cellIs" dxfId="8" priority="8" operator="equal">
      <formula>4</formula>
    </cfRule>
    <cfRule type="cellIs" dxfId="7" priority="9" operator="equal">
      <formula>3</formula>
    </cfRule>
  </conditionalFormatting>
  <conditionalFormatting sqref="F7:F52">
    <cfRule type="cellIs" dxfId="6" priority="6" operator="equal">
      <formula>4</formula>
    </cfRule>
    <cfRule type="cellIs" dxfId="5" priority="7" operator="equal">
      <formula>3</formula>
    </cfRule>
  </conditionalFormatting>
  <conditionalFormatting sqref="F7:F54">
    <cfRule type="cellIs" dxfId="4" priority="3" operator="equal">
      <formula>7</formula>
    </cfRule>
    <cfRule type="cellIs" dxfId="3" priority="4" operator="equal">
      <formula>6</formula>
    </cfRule>
    <cfRule type="cellIs" dxfId="2" priority="5" operator="equal">
      <formula>5</formula>
    </cfRule>
  </conditionalFormatting>
  <conditionalFormatting sqref="F53:F54">
    <cfRule type="cellIs" dxfId="1" priority="1" operator="equal">
      <formula>4</formula>
    </cfRule>
    <cfRule type="cellIs" dxfId="0" priority="2" operator="equal">
      <formula>3</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 workbookViewId="0"/>
  </sheetViews>
  <sheetFormatPr defaultColWidth="9" defaultRowHeight="13.5" x14ac:dyDescent="0.15"/>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侯乃夫</cp:lastModifiedBy>
  <dcterms:created xsi:type="dcterms:W3CDTF">2006-09-16T00:00:00Z</dcterms:created>
  <dcterms:modified xsi:type="dcterms:W3CDTF">2020-05-15T02:19:44Z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