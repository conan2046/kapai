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F10" i="1" l="1"/>
  <c r="F11" i="1"/>
  <c r="F12" i="1"/>
  <c r="F17" i="1"/>
  <c r="F18" i="1"/>
  <c r="F19" i="1"/>
  <c r="F20" i="1"/>
  <c r="F21" i="1"/>
  <c r="F22" i="1"/>
  <c r="F23" i="1"/>
  <c r="F27" i="1" s="1"/>
  <c r="F31" i="1" s="1"/>
  <c r="F35" i="1" s="1"/>
  <c r="F39" i="1" s="1"/>
  <c r="F43" i="1" s="1"/>
  <c r="F47" i="1" s="1"/>
  <c r="F24" i="1"/>
  <c r="F25" i="1"/>
  <c r="F26" i="1"/>
  <c r="F28" i="1"/>
  <c r="F32" i="1" s="1"/>
  <c r="F36" i="1" s="1"/>
  <c r="F40" i="1" s="1"/>
  <c r="F44" i="1" s="1"/>
  <c r="F48" i="1" s="1"/>
  <c r="F29" i="1"/>
  <c r="F30" i="1"/>
  <c r="F33" i="1"/>
  <c r="F34" i="1"/>
  <c r="F37" i="1"/>
  <c r="F38" i="1"/>
  <c r="F41" i="1"/>
  <c r="F42" i="1"/>
  <c r="F45" i="1"/>
  <c r="F46" i="1"/>
  <c r="F9" i="1"/>
</calcChain>
</file>

<file path=xl/comments1.xml><?xml version="1.0" encoding="utf-8"?>
<comments xmlns="http://schemas.openxmlformats.org/spreadsheetml/2006/main">
  <authors>
    <author>作者</author>
  </authors>
  <commentList>
    <comment ref="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 武器
2 护肩
3 衣服
4 护腕
</t>
        </r>
      </text>
    </comment>
  </commentList>
</comments>
</file>

<file path=xl/sharedStrings.xml><?xml version="1.0" encoding="utf-8"?>
<sst xmlns="http://schemas.openxmlformats.org/spreadsheetml/2006/main" count="368" uniqueCount="198">
  <si>
    <t>id</t>
    <phoneticPr fontId="1" type="noConversion"/>
  </si>
  <si>
    <t>name</t>
    <phoneticPr fontId="1" type="noConversion"/>
  </si>
  <si>
    <t>part</t>
    <phoneticPr fontId="1" type="noConversion"/>
  </si>
  <si>
    <t>suit</t>
    <phoneticPr fontId="1" type="noConversion"/>
  </si>
  <si>
    <t>quality</t>
    <phoneticPr fontId="1" type="noConversion"/>
  </si>
  <si>
    <t>pic</t>
    <phoneticPr fontId="1" type="noConversion"/>
  </si>
  <si>
    <t>des</t>
    <phoneticPr fontId="1" type="noConversion"/>
  </si>
  <si>
    <t>item_from</t>
  </si>
  <si>
    <t>名称</t>
    <phoneticPr fontId="1" type="noConversion"/>
  </si>
  <si>
    <t>部位</t>
    <phoneticPr fontId="1" type="noConversion"/>
  </si>
  <si>
    <t>套装id</t>
    <phoneticPr fontId="1" type="noConversion"/>
  </si>
  <si>
    <t>品质</t>
    <phoneticPr fontId="1" type="noConversion"/>
  </si>
  <si>
    <t>图标</t>
    <phoneticPr fontId="1" type="noConversion"/>
  </si>
  <si>
    <t>基础描述</t>
    <phoneticPr fontId="1" type="noConversion"/>
  </si>
  <si>
    <t>来源</t>
    <phoneticPr fontId="1" type="noConversion"/>
  </si>
  <si>
    <t>attr</t>
    <phoneticPr fontId="1" type="noConversion"/>
  </si>
  <si>
    <t>all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</si>
  <si>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</si>
  <si>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</si>
  <si>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</si>
  <si>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string</t>
    <phoneticPr fontId="1" type="noConversion"/>
  </si>
  <si>
    <t>基础属性</t>
    <phoneticPr fontId="1" type="noConversion"/>
  </si>
  <si>
    <t>每级强化属性</t>
    <phoneticPr fontId="1" type="noConversion"/>
  </si>
  <si>
    <t>每级精炼属性</t>
    <phoneticPr fontId="1" type="noConversion"/>
  </si>
  <si>
    <t>atrr_qianghua</t>
    <phoneticPr fontId="1" type="noConversion"/>
  </si>
  <si>
    <t>attr_jinglian</t>
    <phoneticPr fontId="1" type="noConversion"/>
  </si>
  <si>
    <t>arrays</t>
    <phoneticPr fontId="1" type="noConversion"/>
  </si>
  <si>
    <t>array</t>
    <phoneticPr fontId="1" type="noConversion"/>
  </si>
  <si>
    <t>每级觉醒属性</t>
    <phoneticPr fontId="1" type="noConversion"/>
  </si>
  <si>
    <t>每级神铸属性</t>
    <phoneticPr fontId="1" type="noConversion"/>
  </si>
  <si>
    <t>attr_juexing</t>
    <phoneticPr fontId="1" type="noConversion"/>
  </si>
  <si>
    <t>attr_shenzhu</t>
    <phoneticPr fontId="1" type="noConversion"/>
  </si>
  <si>
    <t>all</t>
    <phoneticPr fontId="1" type="noConversion"/>
  </si>
  <si>
    <t>shenzhu_cost</t>
    <phoneticPr fontId="1" type="noConversion"/>
  </si>
  <si>
    <t>all</t>
    <phoneticPr fontId="1" type="noConversion"/>
  </si>
  <si>
    <t>神铸消耗物品ID</t>
    <phoneticPr fontId="1" type="noConversion"/>
  </si>
  <si>
    <t>int</t>
    <phoneticPr fontId="1" type="noConversion"/>
  </si>
  <si>
    <t>绿武器</t>
  </si>
  <si>
    <t>绿护肩</t>
  </si>
  <si>
    <t>绿衣服</t>
  </si>
  <si>
    <t>绿护腕</t>
  </si>
  <si>
    <t>蓝防武器</t>
  </si>
  <si>
    <t>蓝防护肩</t>
  </si>
  <si>
    <t>紫攻武器</t>
  </si>
  <si>
    <t>紫攻护肩</t>
  </si>
  <si>
    <t>紫攻衣服</t>
  </si>
  <si>
    <t>紫攻护腕</t>
  </si>
  <si>
    <t>橙攻武器</t>
  </si>
  <si>
    <t>橙攻护肩</t>
  </si>
  <si>
    <t>橙攻衣服</t>
  </si>
  <si>
    <t>橙攻护腕</t>
  </si>
  <si>
    <t>红攻武器</t>
  </si>
  <si>
    <t>红攻护肩</t>
  </si>
  <si>
    <t>红攻衣服</t>
  </si>
  <si>
    <t>红攻护腕</t>
  </si>
  <si>
    <t>金攻武器</t>
  </si>
  <si>
    <t>金攻护肩</t>
  </si>
  <si>
    <t>金攻衣服</t>
  </si>
  <si>
    <t>金攻护腕</t>
  </si>
  <si>
    <t>蓝防衣服</t>
  </si>
  <si>
    <t>蓝防护腕</t>
  </si>
  <si>
    <t>紫防武器</t>
  </si>
  <si>
    <t>紫防护肩</t>
  </si>
  <si>
    <t>紫防衣服</t>
  </si>
  <si>
    <t>紫防护腕</t>
  </si>
  <si>
    <t>橙防武器</t>
  </si>
  <si>
    <t>橙防护肩</t>
  </si>
  <si>
    <t>橙防衣服</t>
  </si>
  <si>
    <t>橙防护腕</t>
  </si>
  <si>
    <t>红防武器</t>
  </si>
  <si>
    <t>红防护肩</t>
  </si>
  <si>
    <t>红防衣服</t>
  </si>
  <si>
    <t>红防护腕</t>
  </si>
  <si>
    <t>金防武器</t>
  </si>
  <si>
    <t>金防护肩</t>
  </si>
  <si>
    <t>金防衣服</t>
  </si>
  <si>
    <t>金防护腕</t>
  </si>
  <si>
    <t>蓝攻武器</t>
  </si>
  <si>
    <t>1,200</t>
  </si>
  <si>
    <t>蓝攻护肩</t>
  </si>
  <si>
    <t>2,100</t>
  </si>
  <si>
    <t>蓝攻衣服</t>
  </si>
  <si>
    <t>3,100</t>
  </si>
  <si>
    <t>蓝攻护腕</t>
  </si>
  <si>
    <t>4,4000</t>
  </si>
  <si>
    <t>[1,300],[9,10]</t>
  </si>
  <si>
    <t>[2,150],[6,10]</t>
  </si>
  <si>
    <t>[3,150],[7,10]</t>
  </si>
  <si>
    <t>[4,6000],[8,10]</t>
  </si>
  <si>
    <t>1,1500</t>
  </si>
  <si>
    <t>2,750</t>
  </si>
  <si>
    <t>3,750</t>
  </si>
  <si>
    <t>4,30000</t>
  </si>
  <si>
    <t>1,8</t>
  </si>
  <si>
    <t>[1,40],[6,2]</t>
  </si>
  <si>
    <t>2,4</t>
  </si>
  <si>
    <t>[2,20],[8,2]</t>
  </si>
  <si>
    <t>3,4</t>
  </si>
  <si>
    <t>[3,20],[9,2]</t>
  </si>
  <si>
    <t>4,160</t>
  </si>
  <si>
    <t>[4,800],[7,2]</t>
  </si>
  <si>
    <t>1,400</t>
  </si>
  <si>
    <t>1,16</t>
  </si>
  <si>
    <t>[1,80],[6,4]</t>
  </si>
  <si>
    <t>2,200</t>
  </si>
  <si>
    <t>2,8</t>
  </si>
  <si>
    <t>[2,40],[8,4]</t>
  </si>
  <si>
    <t>3,200</t>
  </si>
  <si>
    <t>3,8</t>
  </si>
  <si>
    <t>[3,40],[9,4]</t>
  </si>
  <si>
    <t>4,8000</t>
  </si>
  <si>
    <t>4,320</t>
  </si>
  <si>
    <t>[4,1600],[7,4]</t>
  </si>
  <si>
    <t>1,600</t>
  </si>
  <si>
    <t>1,24</t>
  </si>
  <si>
    <t>[1,120],[6,8]</t>
  </si>
  <si>
    <t>2,300</t>
  </si>
  <si>
    <t>2,12</t>
  </si>
  <si>
    <t>[2,60],[8,8]</t>
  </si>
  <si>
    <t>3,300</t>
  </si>
  <si>
    <t>3,12</t>
  </si>
  <si>
    <t>[3,60],[9,8]</t>
  </si>
  <si>
    <t>4,12000</t>
  </si>
  <si>
    <t>4,480</t>
  </si>
  <si>
    <t>[4,2400],[7,8]</t>
  </si>
  <si>
    <t>1,1000</t>
  </si>
  <si>
    <t>1,40</t>
  </si>
  <si>
    <t>[1,200],[6,15]</t>
  </si>
  <si>
    <t>[1,600],[8,6]</t>
  </si>
  <si>
    <t>2,500</t>
  </si>
  <si>
    <t>2,20</t>
  </si>
  <si>
    <t>[2,100],[8,15]</t>
  </si>
  <si>
    <t>[2,300],[7,6]</t>
  </si>
  <si>
    <t>3,500</t>
  </si>
  <si>
    <t>3,20</t>
  </si>
  <si>
    <t>[3,100],[9,15]</t>
  </si>
  <si>
    <t>[3,300],[6,6]</t>
  </si>
  <si>
    <t>4,20000</t>
  </si>
  <si>
    <t>4,800</t>
  </si>
  <si>
    <t>[4,4000],[7,15]</t>
  </si>
  <si>
    <t>[4,12000],[9,6]</t>
  </si>
  <si>
    <t>1,60</t>
  </si>
  <si>
    <t>[1,300],[6,20]</t>
  </si>
  <si>
    <t>[1,1000],[8,10]</t>
  </si>
  <si>
    <t>2,30</t>
  </si>
  <si>
    <t>[2,150],[8,20]</t>
  </si>
  <si>
    <t>[2,500],[7,10]</t>
  </si>
  <si>
    <t>3,30</t>
  </si>
  <si>
    <t>[3,150],[9,20]</t>
  </si>
  <si>
    <t>[3,500],[6,10]</t>
  </si>
  <si>
    <t>4,1200</t>
  </si>
  <si>
    <t>[4,6000],[7,20]</t>
  </si>
  <si>
    <t>[4,20000],[9,10]</t>
  </si>
  <si>
    <t>1,3000</t>
  </si>
  <si>
    <t>1,120</t>
  </si>
  <si>
    <t>[1,600],[6,25]</t>
  </si>
  <si>
    <t>2,1500</t>
  </si>
  <si>
    <t>2,60</t>
  </si>
  <si>
    <t>[2,300],[8,25]</t>
  </si>
  <si>
    <t>3,1500</t>
  </si>
  <si>
    <t>3,60</t>
  </si>
  <si>
    <t>[3,300],[9,25]</t>
  </si>
  <si>
    <t>4,60000</t>
  </si>
  <si>
    <t>4,2400</t>
  </si>
  <si>
    <t>[4,12000],[7,25]</t>
  </si>
  <si>
    <t>arrays</t>
    <phoneticPr fontId="1" type="noConversion"/>
  </si>
  <si>
    <t>[1,8]</t>
    <phoneticPr fontId="1" type="noConversion"/>
  </si>
  <si>
    <t>[2,4]</t>
  </si>
  <si>
    <t>[3,4]</t>
  </si>
  <si>
    <t>[4,160]</t>
  </si>
  <si>
    <t>[1,16]</t>
  </si>
  <si>
    <t>[2,8]</t>
  </si>
  <si>
    <t>[3,8]</t>
  </si>
  <si>
    <t>[4,320]</t>
  </si>
  <si>
    <t>[1,24]</t>
  </si>
  <si>
    <t>[2,12]</t>
  </si>
  <si>
    <t>[3,12]</t>
  </si>
  <si>
    <t>[4,480]</t>
  </si>
  <si>
    <t>[1,40]</t>
  </si>
  <si>
    <t>[2,20]</t>
  </si>
  <si>
    <t>[3,20]</t>
  </si>
  <si>
    <t>[4,800]</t>
  </si>
  <si>
    <t>[1,60]</t>
  </si>
  <si>
    <t>[2,30]</t>
  </si>
  <si>
    <t>[3,30]</t>
  </si>
  <si>
    <t>[4,1200]</t>
  </si>
  <si>
    <t>[1,120]</t>
  </si>
  <si>
    <t>[2,60]</t>
  </si>
  <si>
    <t>[3,60]</t>
  </si>
  <si>
    <t>[4,2400]</t>
  </si>
  <si>
    <t>equip23100</t>
  </si>
  <si>
    <t>petequip_1002</t>
  </si>
  <si>
    <t>petequip_1003</t>
  </si>
  <si>
    <t>petequip_1004</t>
  </si>
  <si>
    <t>equip22102</t>
  </si>
  <si>
    <t>petequip_1602</t>
  </si>
  <si>
    <t>petequip_1603</t>
  </si>
  <si>
    <t>petequip_1604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</si>
</sst>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0" borderId="0" xfId="0" applyFont="1"/>
    <xf numFmtId="9" fontId="5" fillId="0" borderId="0" xfId="0" applyNumberFormat="1" applyFont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0" fillId="0" borderId="0" xfId="0" applyNumberFormat="1"/>
    <xf numFmtId="0" fontId="5" fillId="3" borderId="1" xfId="0" applyFont="1" applyFill="1" applyBorder="1"/>
    <xf numFmtId="0" fontId="5" fillId="4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8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5" sqref="F5"/>
    </sheetView>
  </sheetViews>
  <sheetFormatPr defaultRowHeight="13.5" x14ac:dyDescent="0.15"/>
  <cols>
    <col min="1" max="1" width="7.625" style="2" customWidth="1"/>
    <col min="2" max="2" width="11.25" style="2" customWidth="1"/>
    <col min="3" max="5" width="7.625" style="2" customWidth="1"/>
    <col min="6" max="6" width="14.125" customWidth="1"/>
    <col min="7" max="7" width="14" customWidth="1"/>
    <col min="9" max="9" width="9.25" style="1" bestFit="1" customWidth="1"/>
    <col min="10" max="10" width="15.5" bestFit="1" customWidth="1"/>
    <col min="11" max="12" width="18.375" bestFit="1" customWidth="1"/>
    <col min="13" max="13" width="16" customWidth="1"/>
    <col min="14" max="14" width="16.125" customWidth="1"/>
    <col min="17" max="17" width="17.375" customWidth="1"/>
  </cols>
  <sheetData>
    <row r="1" spans="1:19" s="5" customFormat="1" ht="1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15</v>
      </c>
      <c r="J1" s="3" t="s">
        <v>24</v>
      </c>
      <c r="K1" s="3" t="s">
        <v>25</v>
      </c>
      <c r="L1" s="3" t="s">
        <v>30</v>
      </c>
      <c r="M1" s="3" t="s">
        <v>31</v>
      </c>
      <c r="N1" s="3" t="s">
        <v>33</v>
      </c>
    </row>
    <row r="2" spans="1:19" s="5" customFormat="1" ht="15" x14ac:dyDescent="0.15">
      <c r="A2" s="3" t="s">
        <v>16</v>
      </c>
      <c r="B2" s="3" t="s">
        <v>16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 t="s">
        <v>16</v>
      </c>
      <c r="I2" s="4" t="s">
        <v>16</v>
      </c>
      <c r="J2" s="3" t="s">
        <v>16</v>
      </c>
      <c r="K2" s="3" t="s">
        <v>16</v>
      </c>
      <c r="L2" s="3" t="s">
        <v>32</v>
      </c>
      <c r="M2" s="3" t="s">
        <v>32</v>
      </c>
      <c r="N2" s="3" t="s">
        <v>34</v>
      </c>
    </row>
    <row r="3" spans="1:19" s="5" customFormat="1" ht="15" x14ac:dyDescent="0.15">
      <c r="A3" s="3" t="s">
        <v>0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4" t="s">
        <v>21</v>
      </c>
      <c r="J3" s="3" t="s">
        <v>22</v>
      </c>
      <c r="K3" s="3" t="s">
        <v>23</v>
      </c>
      <c r="L3" s="3" t="s">
        <v>28</v>
      </c>
      <c r="M3" s="3" t="s">
        <v>29</v>
      </c>
      <c r="N3" s="3" t="s">
        <v>35</v>
      </c>
    </row>
    <row r="4" spans="1:19" s="5" customFormat="1" ht="15" x14ac:dyDescent="0.15">
      <c r="A4" s="3" t="s">
        <v>17</v>
      </c>
      <c r="B4" s="3" t="s">
        <v>18</v>
      </c>
      <c r="C4" s="3" t="s">
        <v>17</v>
      </c>
      <c r="D4" s="3" t="s">
        <v>17</v>
      </c>
      <c r="E4" s="3" t="s">
        <v>17</v>
      </c>
      <c r="F4" s="3" t="s">
        <v>18</v>
      </c>
      <c r="G4" s="3" t="s">
        <v>19</v>
      </c>
      <c r="H4" s="3" t="s">
        <v>20</v>
      </c>
      <c r="I4" s="4" t="s">
        <v>27</v>
      </c>
      <c r="J4" s="3" t="s">
        <v>165</v>
      </c>
      <c r="K4" s="3" t="s">
        <v>26</v>
      </c>
      <c r="L4" s="3" t="s">
        <v>26</v>
      </c>
      <c r="M4" s="3" t="s">
        <v>26</v>
      </c>
      <c r="N4" s="3" t="s">
        <v>36</v>
      </c>
    </row>
    <row r="5" spans="1:19" s="7" customFormat="1" ht="16.5" x14ac:dyDescent="0.35">
      <c r="A5" s="6">
        <v>1001</v>
      </c>
      <c r="B5" s="6" t="s">
        <v>37</v>
      </c>
      <c r="C5" s="6">
        <v>1</v>
      </c>
      <c r="D5" s="6">
        <v>0</v>
      </c>
      <c r="E5" s="6">
        <v>2</v>
      </c>
      <c r="F5" s="15" t="s">
        <v>190</v>
      </c>
      <c r="G5"/>
      <c r="H5" s="14"/>
      <c r="I5" t="s">
        <v>78</v>
      </c>
      <c r="J5" t="s">
        <v>166</v>
      </c>
      <c r="K5" t="s">
        <v>94</v>
      </c>
      <c r="L5"/>
      <c r="M5"/>
      <c r="N5"/>
      <c r="S5" s="8"/>
    </row>
    <row r="6" spans="1:19" s="7" customFormat="1" ht="16.5" x14ac:dyDescent="0.35">
      <c r="A6" s="6">
        <v>1002</v>
      </c>
      <c r="B6" s="6" t="s">
        <v>38</v>
      </c>
      <c r="C6" s="6">
        <v>2</v>
      </c>
      <c r="D6" s="6">
        <v>0</v>
      </c>
      <c r="E6" s="6">
        <v>2</v>
      </c>
      <c r="F6" s="15" t="s">
        <v>191</v>
      </c>
      <c r="G6"/>
      <c r="H6" s="14"/>
      <c r="I6" t="s">
        <v>80</v>
      </c>
      <c r="J6" t="s">
        <v>167</v>
      </c>
      <c r="K6" t="s">
        <v>96</v>
      </c>
      <c r="L6"/>
      <c r="M6"/>
      <c r="N6"/>
    </row>
    <row r="7" spans="1:19" s="7" customFormat="1" ht="16.5" x14ac:dyDescent="0.35">
      <c r="A7" s="6">
        <v>1003</v>
      </c>
      <c r="B7" s="6" t="s">
        <v>39</v>
      </c>
      <c r="C7" s="6">
        <v>3</v>
      </c>
      <c r="D7" s="6">
        <v>0</v>
      </c>
      <c r="E7" s="6">
        <v>2</v>
      </c>
      <c r="F7" s="15" t="s">
        <v>192</v>
      </c>
      <c r="G7"/>
      <c r="H7" s="14"/>
      <c r="I7" t="s">
        <v>82</v>
      </c>
      <c r="J7" t="s">
        <v>168</v>
      </c>
      <c r="K7" t="s">
        <v>98</v>
      </c>
      <c r="L7"/>
      <c r="M7"/>
      <c r="N7"/>
    </row>
    <row r="8" spans="1:19" s="7" customFormat="1" ht="16.5" x14ac:dyDescent="0.35">
      <c r="A8" s="6">
        <v>1004</v>
      </c>
      <c r="B8" s="6" t="s">
        <v>40</v>
      </c>
      <c r="C8" s="6">
        <v>4</v>
      </c>
      <c r="D8" s="6">
        <v>0</v>
      </c>
      <c r="E8" s="6">
        <v>2</v>
      </c>
      <c r="F8" s="15" t="s">
        <v>193</v>
      </c>
      <c r="G8"/>
      <c r="H8" s="14"/>
      <c r="I8" t="s">
        <v>84</v>
      </c>
      <c r="J8" t="s">
        <v>169</v>
      </c>
      <c r="K8" t="s">
        <v>100</v>
      </c>
      <c r="L8"/>
      <c r="M8"/>
      <c r="N8"/>
    </row>
    <row r="9" spans="1:19" s="7" customFormat="1" ht="16.5" x14ac:dyDescent="0.35">
      <c r="A9" s="9">
        <v>1101</v>
      </c>
      <c r="B9" s="9" t="s">
        <v>77</v>
      </c>
      <c r="C9" s="9">
        <v>1</v>
      </c>
      <c r="D9" s="9">
        <v>1</v>
      </c>
      <c r="E9" s="9">
        <v>3</v>
      </c>
      <c r="F9" s="16" t="str">
        <f>F5</f>
        <v>equip23100</v>
      </c>
      <c r="G9"/>
      <c r="H9" s="14"/>
      <c r="I9" t="s">
        <v>101</v>
      </c>
      <c r="J9" t="s">
        <v>170</v>
      </c>
      <c r="K9" t="s">
        <v>103</v>
      </c>
      <c r="L9"/>
      <c r="M9"/>
      <c r="N9"/>
    </row>
    <row r="10" spans="1:19" s="7" customFormat="1" ht="16.5" x14ac:dyDescent="0.35">
      <c r="A10" s="9">
        <v>1102</v>
      </c>
      <c r="B10" s="9" t="s">
        <v>79</v>
      </c>
      <c r="C10" s="9">
        <v>2</v>
      </c>
      <c r="D10" s="9">
        <v>1</v>
      </c>
      <c r="E10" s="9">
        <v>3</v>
      </c>
      <c r="F10" s="16" t="str">
        <f t="shared" ref="F10:F48" si="0">F6</f>
        <v>petequip_1002</v>
      </c>
      <c r="G10"/>
      <c r="H10" s="14"/>
      <c r="I10" t="s">
        <v>104</v>
      </c>
      <c r="J10" t="s">
        <v>171</v>
      </c>
      <c r="K10" t="s">
        <v>106</v>
      </c>
      <c r="L10"/>
      <c r="M10"/>
      <c r="N10"/>
    </row>
    <row r="11" spans="1:19" s="7" customFormat="1" ht="16.5" x14ac:dyDescent="0.35">
      <c r="A11" s="9">
        <v>1103</v>
      </c>
      <c r="B11" s="9" t="s">
        <v>81</v>
      </c>
      <c r="C11" s="9">
        <v>3</v>
      </c>
      <c r="D11" s="9">
        <v>1</v>
      </c>
      <c r="E11" s="9">
        <v>3</v>
      </c>
      <c r="F11" s="16" t="str">
        <f t="shared" si="0"/>
        <v>petequip_1003</v>
      </c>
      <c r="G11"/>
      <c r="H11" s="14"/>
      <c r="I11" t="s">
        <v>107</v>
      </c>
      <c r="J11" t="s">
        <v>172</v>
      </c>
      <c r="K11" t="s">
        <v>109</v>
      </c>
      <c r="L11"/>
      <c r="M11"/>
      <c r="N11"/>
    </row>
    <row r="12" spans="1:19" s="7" customFormat="1" ht="16.5" x14ac:dyDescent="0.35">
      <c r="A12" s="9">
        <v>1104</v>
      </c>
      <c r="B12" s="9" t="s">
        <v>83</v>
      </c>
      <c r="C12" s="9">
        <v>4</v>
      </c>
      <c r="D12" s="9">
        <v>1</v>
      </c>
      <c r="E12" s="9">
        <v>3</v>
      </c>
      <c r="F12" s="16" t="str">
        <f t="shared" si="0"/>
        <v>petequip_1004</v>
      </c>
      <c r="G12"/>
      <c r="H12" s="14"/>
      <c r="I12" t="s">
        <v>110</v>
      </c>
      <c r="J12" t="s">
        <v>173</v>
      </c>
      <c r="K12" t="s">
        <v>112</v>
      </c>
      <c r="L12"/>
      <c r="M12"/>
      <c r="N12"/>
    </row>
    <row r="13" spans="1:19" s="7" customFormat="1" ht="16.5" x14ac:dyDescent="0.35">
      <c r="A13" s="9">
        <v>1111</v>
      </c>
      <c r="B13" s="9" t="s">
        <v>41</v>
      </c>
      <c r="C13" s="9">
        <v>1</v>
      </c>
      <c r="D13" s="9">
        <v>2</v>
      </c>
      <c r="E13" s="9">
        <v>3</v>
      </c>
      <c r="F13" s="16" t="s">
        <v>194</v>
      </c>
      <c r="G13"/>
      <c r="H13" s="14"/>
      <c r="I13" t="s">
        <v>101</v>
      </c>
      <c r="J13" t="s">
        <v>170</v>
      </c>
      <c r="K13" t="s">
        <v>103</v>
      </c>
      <c r="L13"/>
      <c r="M13"/>
      <c r="N13"/>
    </row>
    <row r="14" spans="1:19" s="7" customFormat="1" ht="16.5" x14ac:dyDescent="0.35">
      <c r="A14" s="9">
        <v>1112</v>
      </c>
      <c r="B14" s="9" t="s">
        <v>42</v>
      </c>
      <c r="C14" s="9">
        <v>2</v>
      </c>
      <c r="D14" s="9">
        <v>2</v>
      </c>
      <c r="E14" s="9">
        <v>3</v>
      </c>
      <c r="F14" s="16" t="s">
        <v>195</v>
      </c>
      <c r="G14"/>
      <c r="H14" s="14"/>
      <c r="I14" t="s">
        <v>104</v>
      </c>
      <c r="J14" t="s">
        <v>171</v>
      </c>
      <c r="K14" t="s">
        <v>106</v>
      </c>
      <c r="L14"/>
      <c r="M14"/>
      <c r="N14"/>
    </row>
    <row r="15" spans="1:19" s="7" customFormat="1" ht="16.5" x14ac:dyDescent="0.35">
      <c r="A15" s="9">
        <v>1113</v>
      </c>
      <c r="B15" s="9" t="s">
        <v>59</v>
      </c>
      <c r="C15" s="9">
        <v>3</v>
      </c>
      <c r="D15" s="9">
        <v>2</v>
      </c>
      <c r="E15" s="9">
        <v>3</v>
      </c>
      <c r="F15" s="16" t="s">
        <v>196</v>
      </c>
      <c r="G15"/>
      <c r="H15" s="14"/>
      <c r="I15" t="s">
        <v>107</v>
      </c>
      <c r="J15" t="s">
        <v>172</v>
      </c>
      <c r="K15" t="s">
        <v>109</v>
      </c>
      <c r="L15"/>
      <c r="M15"/>
      <c r="N15"/>
    </row>
    <row r="16" spans="1:19" s="7" customFormat="1" ht="16.5" x14ac:dyDescent="0.35">
      <c r="A16" s="9">
        <v>1114</v>
      </c>
      <c r="B16" s="9" t="s">
        <v>60</v>
      </c>
      <c r="C16" s="9">
        <v>4</v>
      </c>
      <c r="D16" s="9">
        <v>2</v>
      </c>
      <c r="E16" s="9">
        <v>3</v>
      </c>
      <c r="F16" s="16" t="s">
        <v>197</v>
      </c>
      <c r="G16"/>
      <c r="H16" s="14"/>
      <c r="I16" t="s">
        <v>110</v>
      </c>
      <c r="J16" t="s">
        <v>173</v>
      </c>
      <c r="K16" t="s">
        <v>112</v>
      </c>
      <c r="L16"/>
      <c r="M16"/>
      <c r="N16"/>
    </row>
    <row r="17" spans="1:14" s="7" customFormat="1" ht="16.5" x14ac:dyDescent="0.35">
      <c r="A17" s="10">
        <v>1201</v>
      </c>
      <c r="B17" s="10" t="s">
        <v>43</v>
      </c>
      <c r="C17" s="10">
        <v>1</v>
      </c>
      <c r="D17" s="10">
        <v>3</v>
      </c>
      <c r="E17" s="10">
        <v>4</v>
      </c>
      <c r="F17" s="16" t="str">
        <f t="shared" si="0"/>
        <v>equip22102</v>
      </c>
      <c r="G17"/>
      <c r="H17" s="14"/>
      <c r="I17" t="s">
        <v>113</v>
      </c>
      <c r="J17" t="s">
        <v>174</v>
      </c>
      <c r="K17" t="s">
        <v>115</v>
      </c>
      <c r="L17"/>
      <c r="M17"/>
      <c r="N17"/>
    </row>
    <row r="18" spans="1:14" s="7" customFormat="1" ht="16.5" x14ac:dyDescent="0.35">
      <c r="A18" s="10">
        <v>1202</v>
      </c>
      <c r="B18" s="10" t="s">
        <v>44</v>
      </c>
      <c r="C18" s="10">
        <v>2</v>
      </c>
      <c r="D18" s="10">
        <v>3</v>
      </c>
      <c r="E18" s="10">
        <v>4</v>
      </c>
      <c r="F18" s="16" t="str">
        <f t="shared" si="0"/>
        <v>petequip_1602</v>
      </c>
      <c r="G18"/>
      <c r="H18" s="14"/>
      <c r="I18" t="s">
        <v>116</v>
      </c>
      <c r="J18" t="s">
        <v>175</v>
      </c>
      <c r="K18" t="s">
        <v>118</v>
      </c>
      <c r="L18"/>
      <c r="M18"/>
      <c r="N18"/>
    </row>
    <row r="19" spans="1:14" s="7" customFormat="1" ht="16.5" x14ac:dyDescent="0.35">
      <c r="A19" s="10">
        <v>1203</v>
      </c>
      <c r="B19" s="10" t="s">
        <v>45</v>
      </c>
      <c r="C19" s="10">
        <v>3</v>
      </c>
      <c r="D19" s="10">
        <v>3</v>
      </c>
      <c r="E19" s="10">
        <v>4</v>
      </c>
      <c r="F19" s="16" t="str">
        <f t="shared" si="0"/>
        <v>petequip_1603</v>
      </c>
      <c r="G19"/>
      <c r="H19" s="14"/>
      <c r="I19" t="s">
        <v>119</v>
      </c>
      <c r="J19" t="s">
        <v>176</v>
      </c>
      <c r="K19" t="s">
        <v>121</v>
      </c>
      <c r="L19"/>
      <c r="M19"/>
      <c r="N19"/>
    </row>
    <row r="20" spans="1:14" s="7" customFormat="1" ht="16.5" x14ac:dyDescent="0.35">
      <c r="A20" s="10">
        <v>1204</v>
      </c>
      <c r="B20" s="10" t="s">
        <v>46</v>
      </c>
      <c r="C20" s="10">
        <v>4</v>
      </c>
      <c r="D20" s="10">
        <v>3</v>
      </c>
      <c r="E20" s="10">
        <v>4</v>
      </c>
      <c r="F20" s="16" t="str">
        <f t="shared" si="0"/>
        <v>petequip_1604</v>
      </c>
      <c r="G20"/>
      <c r="H20" s="14"/>
      <c r="I20" t="s">
        <v>122</v>
      </c>
      <c r="J20" t="s">
        <v>177</v>
      </c>
      <c r="K20" t="s">
        <v>124</v>
      </c>
      <c r="L20"/>
      <c r="M20"/>
      <c r="N20"/>
    </row>
    <row r="21" spans="1:14" s="7" customFormat="1" ht="16.5" x14ac:dyDescent="0.35">
      <c r="A21" s="10">
        <v>1211</v>
      </c>
      <c r="B21" s="10" t="s">
        <v>61</v>
      </c>
      <c r="C21" s="10">
        <v>1</v>
      </c>
      <c r="D21" s="10">
        <v>4</v>
      </c>
      <c r="E21" s="10">
        <v>4</v>
      </c>
      <c r="F21" s="16" t="str">
        <f t="shared" si="0"/>
        <v>equip22102</v>
      </c>
      <c r="G21"/>
      <c r="H21" s="14"/>
      <c r="I21" t="s">
        <v>113</v>
      </c>
      <c r="J21" t="s">
        <v>174</v>
      </c>
      <c r="K21" t="s">
        <v>115</v>
      </c>
      <c r="L21"/>
      <c r="M21"/>
      <c r="N21"/>
    </row>
    <row r="22" spans="1:14" s="7" customFormat="1" ht="16.5" x14ac:dyDescent="0.35">
      <c r="A22" s="10">
        <v>1212</v>
      </c>
      <c r="B22" s="10" t="s">
        <v>62</v>
      </c>
      <c r="C22" s="10">
        <v>2</v>
      </c>
      <c r="D22" s="10">
        <v>4</v>
      </c>
      <c r="E22" s="10">
        <v>4</v>
      </c>
      <c r="F22" s="16" t="str">
        <f t="shared" si="0"/>
        <v>petequip_1602</v>
      </c>
      <c r="G22"/>
      <c r="H22" s="14"/>
      <c r="I22" t="s">
        <v>116</v>
      </c>
      <c r="J22" t="s">
        <v>175</v>
      </c>
      <c r="K22" t="s">
        <v>118</v>
      </c>
      <c r="L22"/>
      <c r="M22"/>
      <c r="N22"/>
    </row>
    <row r="23" spans="1:14" s="7" customFormat="1" ht="16.5" x14ac:dyDescent="0.35">
      <c r="A23" s="10">
        <v>1213</v>
      </c>
      <c r="B23" s="10" t="s">
        <v>63</v>
      </c>
      <c r="C23" s="10">
        <v>3</v>
      </c>
      <c r="D23" s="10">
        <v>4</v>
      </c>
      <c r="E23" s="10">
        <v>4</v>
      </c>
      <c r="F23" s="16" t="str">
        <f t="shared" si="0"/>
        <v>petequip_1603</v>
      </c>
      <c r="G23"/>
      <c r="H23" s="14"/>
      <c r="I23" t="s">
        <v>119</v>
      </c>
      <c r="J23" t="s">
        <v>176</v>
      </c>
      <c r="K23" t="s">
        <v>121</v>
      </c>
      <c r="L23"/>
      <c r="M23"/>
      <c r="N23"/>
    </row>
    <row r="24" spans="1:14" s="7" customFormat="1" ht="16.5" x14ac:dyDescent="0.35">
      <c r="A24" s="10">
        <v>1214</v>
      </c>
      <c r="B24" s="10" t="s">
        <v>64</v>
      </c>
      <c r="C24" s="10">
        <v>4</v>
      </c>
      <c r="D24" s="10">
        <v>4</v>
      </c>
      <c r="E24" s="10">
        <v>4</v>
      </c>
      <c r="F24" s="16" t="str">
        <f t="shared" si="0"/>
        <v>petequip_1604</v>
      </c>
      <c r="G24"/>
      <c r="H24" s="14"/>
      <c r="I24" t="s">
        <v>122</v>
      </c>
      <c r="J24" t="s">
        <v>177</v>
      </c>
      <c r="K24" t="s">
        <v>124</v>
      </c>
      <c r="L24"/>
      <c r="M24"/>
      <c r="N24"/>
    </row>
    <row r="25" spans="1:14" s="7" customFormat="1" ht="16.5" x14ac:dyDescent="0.35">
      <c r="A25" s="11">
        <v>1301</v>
      </c>
      <c r="B25" s="11" t="s">
        <v>47</v>
      </c>
      <c r="C25" s="11">
        <v>1</v>
      </c>
      <c r="D25" s="11">
        <v>5</v>
      </c>
      <c r="E25" s="11">
        <v>5</v>
      </c>
      <c r="F25" s="16" t="str">
        <f t="shared" si="0"/>
        <v>equip22102</v>
      </c>
      <c r="G25"/>
      <c r="H25" s="14"/>
      <c r="I25" t="s">
        <v>125</v>
      </c>
      <c r="J25" t="s">
        <v>178</v>
      </c>
      <c r="K25" t="s">
        <v>127</v>
      </c>
      <c r="L25" t="s">
        <v>128</v>
      </c>
      <c r="M25"/>
      <c r="N25"/>
    </row>
    <row r="26" spans="1:14" s="7" customFormat="1" ht="16.5" x14ac:dyDescent="0.35">
      <c r="A26" s="11">
        <v>1302</v>
      </c>
      <c r="B26" s="11" t="s">
        <v>48</v>
      </c>
      <c r="C26" s="11">
        <v>2</v>
      </c>
      <c r="D26" s="11">
        <v>5</v>
      </c>
      <c r="E26" s="11">
        <v>5</v>
      </c>
      <c r="F26" s="16" t="str">
        <f t="shared" si="0"/>
        <v>petequip_1602</v>
      </c>
      <c r="G26"/>
      <c r="H26" s="14"/>
      <c r="I26" t="s">
        <v>129</v>
      </c>
      <c r="J26" t="s">
        <v>179</v>
      </c>
      <c r="K26" t="s">
        <v>131</v>
      </c>
      <c r="L26" t="s">
        <v>132</v>
      </c>
      <c r="M26"/>
      <c r="N26"/>
    </row>
    <row r="27" spans="1:14" s="7" customFormat="1" ht="16.5" x14ac:dyDescent="0.35">
      <c r="A27" s="11">
        <v>1303</v>
      </c>
      <c r="B27" s="11" t="s">
        <v>49</v>
      </c>
      <c r="C27" s="11">
        <v>3</v>
      </c>
      <c r="D27" s="11">
        <v>5</v>
      </c>
      <c r="E27" s="11">
        <v>5</v>
      </c>
      <c r="F27" s="16" t="str">
        <f t="shared" si="0"/>
        <v>petequip_1603</v>
      </c>
      <c r="G27"/>
      <c r="H27" s="14"/>
      <c r="I27" t="s">
        <v>133</v>
      </c>
      <c r="J27" t="s">
        <v>180</v>
      </c>
      <c r="K27" t="s">
        <v>135</v>
      </c>
      <c r="L27" t="s">
        <v>136</v>
      </c>
      <c r="M27"/>
      <c r="N27"/>
    </row>
    <row r="28" spans="1:14" s="7" customFormat="1" ht="16.5" x14ac:dyDescent="0.35">
      <c r="A28" s="11">
        <v>1304</v>
      </c>
      <c r="B28" s="11" t="s">
        <v>50</v>
      </c>
      <c r="C28" s="11">
        <v>4</v>
      </c>
      <c r="D28" s="11">
        <v>5</v>
      </c>
      <c r="E28" s="11">
        <v>5</v>
      </c>
      <c r="F28" s="16" t="str">
        <f t="shared" si="0"/>
        <v>petequip_1604</v>
      </c>
      <c r="G28"/>
      <c r="H28" s="14"/>
      <c r="I28" t="s">
        <v>137</v>
      </c>
      <c r="J28" t="s">
        <v>181</v>
      </c>
      <c r="K28" t="s">
        <v>139</v>
      </c>
      <c r="L28" t="s">
        <v>140</v>
      </c>
      <c r="M28"/>
      <c r="N28"/>
    </row>
    <row r="29" spans="1:14" s="7" customFormat="1" ht="16.5" x14ac:dyDescent="0.35">
      <c r="A29" s="11">
        <v>1311</v>
      </c>
      <c r="B29" s="11" t="s">
        <v>65</v>
      </c>
      <c r="C29" s="11">
        <v>1</v>
      </c>
      <c r="D29" s="11">
        <v>6</v>
      </c>
      <c r="E29" s="11">
        <v>5</v>
      </c>
      <c r="F29" s="16" t="str">
        <f t="shared" si="0"/>
        <v>equip22102</v>
      </c>
      <c r="G29"/>
      <c r="H29" s="14"/>
      <c r="I29" t="s">
        <v>125</v>
      </c>
      <c r="J29" t="s">
        <v>178</v>
      </c>
      <c r="K29" t="s">
        <v>127</v>
      </c>
      <c r="L29" t="s">
        <v>128</v>
      </c>
      <c r="M29"/>
      <c r="N29"/>
    </row>
    <row r="30" spans="1:14" s="7" customFormat="1" ht="16.5" x14ac:dyDescent="0.35">
      <c r="A30" s="11">
        <v>1312</v>
      </c>
      <c r="B30" s="11" t="s">
        <v>66</v>
      </c>
      <c r="C30" s="11">
        <v>2</v>
      </c>
      <c r="D30" s="11">
        <v>6</v>
      </c>
      <c r="E30" s="11">
        <v>5</v>
      </c>
      <c r="F30" s="16" t="str">
        <f t="shared" si="0"/>
        <v>petequip_1602</v>
      </c>
      <c r="G30"/>
      <c r="H30" s="14"/>
      <c r="I30" t="s">
        <v>129</v>
      </c>
      <c r="J30" t="s">
        <v>179</v>
      </c>
      <c r="K30" t="s">
        <v>131</v>
      </c>
      <c r="L30" t="s">
        <v>132</v>
      </c>
      <c r="M30"/>
      <c r="N30"/>
    </row>
    <row r="31" spans="1:14" s="7" customFormat="1" ht="16.5" x14ac:dyDescent="0.35">
      <c r="A31" s="11">
        <v>1313</v>
      </c>
      <c r="B31" s="11" t="s">
        <v>67</v>
      </c>
      <c r="C31" s="11">
        <v>3</v>
      </c>
      <c r="D31" s="11">
        <v>6</v>
      </c>
      <c r="E31" s="11">
        <v>5</v>
      </c>
      <c r="F31" s="16" t="str">
        <f t="shared" si="0"/>
        <v>petequip_1603</v>
      </c>
      <c r="G31"/>
      <c r="H31" s="14"/>
      <c r="I31" t="s">
        <v>133</v>
      </c>
      <c r="J31" t="s">
        <v>180</v>
      </c>
      <c r="K31" t="s">
        <v>135</v>
      </c>
      <c r="L31" t="s">
        <v>136</v>
      </c>
      <c r="M31"/>
      <c r="N31"/>
    </row>
    <row r="32" spans="1:14" s="7" customFormat="1" ht="16.5" x14ac:dyDescent="0.35">
      <c r="A32" s="11">
        <v>1314</v>
      </c>
      <c r="B32" s="11" t="s">
        <v>68</v>
      </c>
      <c r="C32" s="11">
        <v>4</v>
      </c>
      <c r="D32" s="11">
        <v>6</v>
      </c>
      <c r="E32" s="11">
        <v>5</v>
      </c>
      <c r="F32" s="16" t="str">
        <f t="shared" si="0"/>
        <v>petequip_1604</v>
      </c>
      <c r="G32"/>
      <c r="H32" s="14"/>
      <c r="I32" t="s">
        <v>137</v>
      </c>
      <c r="J32" t="s">
        <v>181</v>
      </c>
      <c r="K32" t="s">
        <v>139</v>
      </c>
      <c r="L32" t="s">
        <v>140</v>
      </c>
      <c r="M32"/>
      <c r="N32"/>
    </row>
    <row r="33" spans="1:14" s="7" customFormat="1" ht="16.5" x14ac:dyDescent="0.35">
      <c r="A33" s="12">
        <v>1401</v>
      </c>
      <c r="B33" s="12" t="s">
        <v>51</v>
      </c>
      <c r="C33" s="12">
        <v>1</v>
      </c>
      <c r="D33" s="12">
        <v>7</v>
      </c>
      <c r="E33" s="12">
        <v>6</v>
      </c>
      <c r="F33" s="16" t="str">
        <f t="shared" si="0"/>
        <v>equip22102</v>
      </c>
      <c r="G33"/>
      <c r="H33" s="14"/>
      <c r="I33" t="s">
        <v>89</v>
      </c>
      <c r="J33" t="s">
        <v>182</v>
      </c>
      <c r="K33" t="s">
        <v>142</v>
      </c>
      <c r="L33" t="s">
        <v>143</v>
      </c>
      <c r="M33" t="s">
        <v>85</v>
      </c>
      <c r="N33" s="12">
        <v>4629</v>
      </c>
    </row>
    <row r="34" spans="1:14" s="7" customFormat="1" ht="16.5" x14ac:dyDescent="0.35">
      <c r="A34" s="12">
        <v>1402</v>
      </c>
      <c r="B34" s="12" t="s">
        <v>52</v>
      </c>
      <c r="C34" s="12">
        <v>2</v>
      </c>
      <c r="D34" s="12">
        <v>7</v>
      </c>
      <c r="E34" s="12">
        <v>6</v>
      </c>
      <c r="F34" s="16" t="str">
        <f t="shared" si="0"/>
        <v>petequip_1602</v>
      </c>
      <c r="G34"/>
      <c r="H34" s="14"/>
      <c r="I34" t="s">
        <v>90</v>
      </c>
      <c r="J34" t="s">
        <v>183</v>
      </c>
      <c r="K34" t="s">
        <v>145</v>
      </c>
      <c r="L34" t="s">
        <v>146</v>
      </c>
      <c r="M34" t="s">
        <v>86</v>
      </c>
      <c r="N34" s="12">
        <v>4630</v>
      </c>
    </row>
    <row r="35" spans="1:14" s="7" customFormat="1" ht="16.5" x14ac:dyDescent="0.35">
      <c r="A35" s="12">
        <v>1403</v>
      </c>
      <c r="B35" s="12" t="s">
        <v>53</v>
      </c>
      <c r="C35" s="12">
        <v>3</v>
      </c>
      <c r="D35" s="12">
        <v>7</v>
      </c>
      <c r="E35" s="12">
        <v>6</v>
      </c>
      <c r="F35" s="16" t="str">
        <f t="shared" si="0"/>
        <v>petequip_1603</v>
      </c>
      <c r="G35"/>
      <c r="H35" s="14"/>
      <c r="I35" t="s">
        <v>91</v>
      </c>
      <c r="J35" t="s">
        <v>184</v>
      </c>
      <c r="K35" t="s">
        <v>148</v>
      </c>
      <c r="L35" t="s">
        <v>149</v>
      </c>
      <c r="M35" t="s">
        <v>87</v>
      </c>
      <c r="N35" s="12">
        <v>4631</v>
      </c>
    </row>
    <row r="36" spans="1:14" s="7" customFormat="1" ht="16.5" x14ac:dyDescent="0.35">
      <c r="A36" s="12">
        <v>1404</v>
      </c>
      <c r="B36" s="12" t="s">
        <v>54</v>
      </c>
      <c r="C36" s="12">
        <v>4</v>
      </c>
      <c r="D36" s="12">
        <v>7</v>
      </c>
      <c r="E36" s="12">
        <v>6</v>
      </c>
      <c r="F36" s="16" t="str">
        <f t="shared" si="0"/>
        <v>petequip_1604</v>
      </c>
      <c r="G36"/>
      <c r="H36" s="14"/>
      <c r="I36" t="s">
        <v>92</v>
      </c>
      <c r="J36" t="s">
        <v>185</v>
      </c>
      <c r="K36" t="s">
        <v>151</v>
      </c>
      <c r="L36" t="s">
        <v>152</v>
      </c>
      <c r="M36" t="s">
        <v>88</v>
      </c>
      <c r="N36" s="12">
        <v>4632</v>
      </c>
    </row>
    <row r="37" spans="1:14" s="7" customFormat="1" ht="16.5" x14ac:dyDescent="0.35">
      <c r="A37" s="12">
        <v>1411</v>
      </c>
      <c r="B37" s="12" t="s">
        <v>69</v>
      </c>
      <c r="C37" s="12">
        <v>1</v>
      </c>
      <c r="D37" s="12">
        <v>8</v>
      </c>
      <c r="E37" s="12">
        <v>6</v>
      </c>
      <c r="F37" s="16" t="str">
        <f t="shared" si="0"/>
        <v>equip22102</v>
      </c>
      <c r="G37"/>
      <c r="H37" s="14"/>
      <c r="I37" t="s">
        <v>89</v>
      </c>
      <c r="J37" t="s">
        <v>182</v>
      </c>
      <c r="K37" t="s">
        <v>142</v>
      </c>
      <c r="L37" t="s">
        <v>143</v>
      </c>
      <c r="M37" t="s">
        <v>85</v>
      </c>
      <c r="N37" s="12">
        <v>4633</v>
      </c>
    </row>
    <row r="38" spans="1:14" s="7" customFormat="1" ht="16.5" x14ac:dyDescent="0.35">
      <c r="A38" s="12">
        <v>1412</v>
      </c>
      <c r="B38" s="12" t="s">
        <v>70</v>
      </c>
      <c r="C38" s="12">
        <v>2</v>
      </c>
      <c r="D38" s="12">
        <v>8</v>
      </c>
      <c r="E38" s="12">
        <v>6</v>
      </c>
      <c r="F38" s="16" t="str">
        <f t="shared" si="0"/>
        <v>petequip_1602</v>
      </c>
      <c r="G38"/>
      <c r="H38" s="14"/>
      <c r="I38" t="s">
        <v>90</v>
      </c>
      <c r="J38" t="s">
        <v>183</v>
      </c>
      <c r="K38" t="s">
        <v>145</v>
      </c>
      <c r="L38" t="s">
        <v>146</v>
      </c>
      <c r="M38" t="s">
        <v>86</v>
      </c>
      <c r="N38" s="12">
        <v>4634</v>
      </c>
    </row>
    <row r="39" spans="1:14" s="7" customFormat="1" ht="16.5" x14ac:dyDescent="0.35">
      <c r="A39" s="12">
        <v>1413</v>
      </c>
      <c r="B39" s="12" t="s">
        <v>71</v>
      </c>
      <c r="C39" s="12">
        <v>3</v>
      </c>
      <c r="D39" s="12">
        <v>8</v>
      </c>
      <c r="E39" s="12">
        <v>6</v>
      </c>
      <c r="F39" s="16" t="str">
        <f t="shared" si="0"/>
        <v>petequip_1603</v>
      </c>
      <c r="G39"/>
      <c r="H39" s="14"/>
      <c r="I39" t="s">
        <v>91</v>
      </c>
      <c r="J39" t="s">
        <v>184</v>
      </c>
      <c r="K39" t="s">
        <v>148</v>
      </c>
      <c r="L39" t="s">
        <v>149</v>
      </c>
      <c r="M39" t="s">
        <v>87</v>
      </c>
      <c r="N39" s="12">
        <v>4635</v>
      </c>
    </row>
    <row r="40" spans="1:14" s="7" customFormat="1" ht="16.5" x14ac:dyDescent="0.35">
      <c r="A40" s="12">
        <v>1414</v>
      </c>
      <c r="B40" s="12" t="s">
        <v>72</v>
      </c>
      <c r="C40" s="12">
        <v>4</v>
      </c>
      <c r="D40" s="12">
        <v>8</v>
      </c>
      <c r="E40" s="12">
        <v>6</v>
      </c>
      <c r="F40" s="16" t="str">
        <f t="shared" si="0"/>
        <v>petequip_1604</v>
      </c>
      <c r="G40"/>
      <c r="H40" s="14"/>
      <c r="I40" t="s">
        <v>92</v>
      </c>
      <c r="J40" t="s">
        <v>185</v>
      </c>
      <c r="K40" t="s">
        <v>151</v>
      </c>
      <c r="L40" t="s">
        <v>152</v>
      </c>
      <c r="M40" t="s">
        <v>88</v>
      </c>
      <c r="N40" s="12">
        <v>4636</v>
      </c>
    </row>
    <row r="41" spans="1:14" s="7" customFormat="1" ht="16.5" x14ac:dyDescent="0.35">
      <c r="A41" s="13">
        <v>1501</v>
      </c>
      <c r="B41" s="13" t="s">
        <v>55</v>
      </c>
      <c r="C41" s="13">
        <v>1</v>
      </c>
      <c r="D41" s="13">
        <v>9</v>
      </c>
      <c r="E41" s="13">
        <v>7</v>
      </c>
      <c r="F41" s="16" t="str">
        <f t="shared" si="0"/>
        <v>equip22102</v>
      </c>
      <c r="G41"/>
      <c r="H41" s="14"/>
      <c r="I41" t="s">
        <v>153</v>
      </c>
      <c r="J41" t="s">
        <v>186</v>
      </c>
      <c r="K41" t="s">
        <v>155</v>
      </c>
      <c r="L41" t="s">
        <v>143</v>
      </c>
      <c r="M41" t="s">
        <v>85</v>
      </c>
      <c r="N41" s="13">
        <v>4629</v>
      </c>
    </row>
    <row r="42" spans="1:14" s="7" customFormat="1" ht="16.5" x14ac:dyDescent="0.35">
      <c r="A42" s="13">
        <v>1502</v>
      </c>
      <c r="B42" s="13" t="s">
        <v>56</v>
      </c>
      <c r="C42" s="13">
        <v>2</v>
      </c>
      <c r="D42" s="13">
        <v>9</v>
      </c>
      <c r="E42" s="13">
        <v>7</v>
      </c>
      <c r="F42" s="16" t="str">
        <f t="shared" si="0"/>
        <v>petequip_1602</v>
      </c>
      <c r="G42"/>
      <c r="H42" s="14"/>
      <c r="I42" t="s">
        <v>156</v>
      </c>
      <c r="J42" t="s">
        <v>187</v>
      </c>
      <c r="K42" t="s">
        <v>158</v>
      </c>
      <c r="L42" t="s">
        <v>146</v>
      </c>
      <c r="M42" t="s">
        <v>86</v>
      </c>
      <c r="N42" s="13">
        <v>4630</v>
      </c>
    </row>
    <row r="43" spans="1:14" s="7" customFormat="1" ht="16.5" x14ac:dyDescent="0.35">
      <c r="A43" s="13">
        <v>1503</v>
      </c>
      <c r="B43" s="13" t="s">
        <v>57</v>
      </c>
      <c r="C43" s="13">
        <v>3</v>
      </c>
      <c r="D43" s="13">
        <v>9</v>
      </c>
      <c r="E43" s="13">
        <v>7</v>
      </c>
      <c r="F43" s="16" t="str">
        <f t="shared" si="0"/>
        <v>petequip_1603</v>
      </c>
      <c r="G43"/>
      <c r="H43" s="14"/>
      <c r="I43" t="s">
        <v>159</v>
      </c>
      <c r="J43" t="s">
        <v>188</v>
      </c>
      <c r="K43" t="s">
        <v>161</v>
      </c>
      <c r="L43" t="s">
        <v>149</v>
      </c>
      <c r="M43" t="s">
        <v>87</v>
      </c>
      <c r="N43" s="13">
        <v>4631</v>
      </c>
    </row>
    <row r="44" spans="1:14" s="7" customFormat="1" ht="16.5" x14ac:dyDescent="0.35">
      <c r="A44" s="13">
        <v>1504</v>
      </c>
      <c r="B44" s="13" t="s">
        <v>58</v>
      </c>
      <c r="C44" s="13">
        <v>4</v>
      </c>
      <c r="D44" s="13">
        <v>9</v>
      </c>
      <c r="E44" s="13">
        <v>7</v>
      </c>
      <c r="F44" s="16" t="str">
        <f t="shared" si="0"/>
        <v>petequip_1604</v>
      </c>
      <c r="G44"/>
      <c r="H44" s="14"/>
      <c r="I44" t="s">
        <v>162</v>
      </c>
      <c r="J44" t="s">
        <v>189</v>
      </c>
      <c r="K44" t="s">
        <v>164</v>
      </c>
      <c r="L44" t="s">
        <v>152</v>
      </c>
      <c r="M44" t="s">
        <v>88</v>
      </c>
      <c r="N44" s="13">
        <v>4632</v>
      </c>
    </row>
    <row r="45" spans="1:14" s="7" customFormat="1" ht="16.5" x14ac:dyDescent="0.35">
      <c r="A45" s="13">
        <v>1511</v>
      </c>
      <c r="B45" s="13" t="s">
        <v>73</v>
      </c>
      <c r="C45" s="13">
        <v>1</v>
      </c>
      <c r="D45" s="13">
        <v>10</v>
      </c>
      <c r="E45" s="13">
        <v>7</v>
      </c>
      <c r="F45" s="16" t="str">
        <f t="shared" si="0"/>
        <v>equip22102</v>
      </c>
      <c r="G45"/>
      <c r="H45" s="14"/>
      <c r="I45" t="s">
        <v>153</v>
      </c>
      <c r="J45" t="s">
        <v>186</v>
      </c>
      <c r="K45" t="s">
        <v>155</v>
      </c>
      <c r="L45" t="s">
        <v>143</v>
      </c>
      <c r="M45" t="s">
        <v>85</v>
      </c>
      <c r="N45" s="13">
        <v>4633</v>
      </c>
    </row>
    <row r="46" spans="1:14" s="7" customFormat="1" ht="16.5" x14ac:dyDescent="0.35">
      <c r="A46" s="13">
        <v>1512</v>
      </c>
      <c r="B46" s="13" t="s">
        <v>74</v>
      </c>
      <c r="C46" s="13">
        <v>2</v>
      </c>
      <c r="D46" s="13">
        <v>10</v>
      </c>
      <c r="E46" s="13">
        <v>7</v>
      </c>
      <c r="F46" s="16" t="str">
        <f t="shared" si="0"/>
        <v>petequip_1602</v>
      </c>
      <c r="G46"/>
      <c r="H46" s="14"/>
      <c r="I46" t="s">
        <v>156</v>
      </c>
      <c r="J46" t="s">
        <v>187</v>
      </c>
      <c r="K46" t="s">
        <v>158</v>
      </c>
      <c r="L46" t="s">
        <v>146</v>
      </c>
      <c r="M46" t="s">
        <v>86</v>
      </c>
      <c r="N46" s="13">
        <v>4634</v>
      </c>
    </row>
    <row r="47" spans="1:14" s="7" customFormat="1" ht="16.5" x14ac:dyDescent="0.35">
      <c r="A47" s="13">
        <v>1513</v>
      </c>
      <c r="B47" s="13" t="s">
        <v>75</v>
      </c>
      <c r="C47" s="13">
        <v>3</v>
      </c>
      <c r="D47" s="13">
        <v>10</v>
      </c>
      <c r="E47" s="13">
        <v>7</v>
      </c>
      <c r="F47" s="16" t="str">
        <f t="shared" si="0"/>
        <v>petequip_1603</v>
      </c>
      <c r="G47"/>
      <c r="H47" s="14"/>
      <c r="I47" t="s">
        <v>159</v>
      </c>
      <c r="J47" t="s">
        <v>188</v>
      </c>
      <c r="K47" t="s">
        <v>161</v>
      </c>
      <c r="L47" t="s">
        <v>149</v>
      </c>
      <c r="M47" t="s">
        <v>87</v>
      </c>
      <c r="N47" s="13">
        <v>4635</v>
      </c>
    </row>
    <row r="48" spans="1:14" s="7" customFormat="1" ht="16.5" x14ac:dyDescent="0.35">
      <c r="A48" s="13">
        <v>1514</v>
      </c>
      <c r="B48" s="13" t="s">
        <v>76</v>
      </c>
      <c r="C48" s="13">
        <v>4</v>
      </c>
      <c r="D48" s="13">
        <v>10</v>
      </c>
      <c r="E48" s="13">
        <v>7</v>
      </c>
      <c r="F48" s="16" t="str">
        <f t="shared" si="0"/>
        <v>petequip_1604</v>
      </c>
      <c r="G48"/>
      <c r="H48" s="14"/>
      <c r="I48" t="s">
        <v>162</v>
      </c>
      <c r="J48" t="s">
        <v>189</v>
      </c>
      <c r="K48" t="s">
        <v>164</v>
      </c>
      <c r="L48" t="s">
        <v>152</v>
      </c>
      <c r="M48" t="s">
        <v>88</v>
      </c>
      <c r="N48" s="13">
        <v>4636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E44"/>
  <sheetViews>
    <sheetView topLeftCell="A10" workbookViewId="0">
      <selection activeCell="E1" sqref="E1:E44"/>
    </sheetView>
  </sheetViews>
  <sheetFormatPr defaultRowHeight="13.5" x14ac:dyDescent="0.15"/>
  <sheetData>
    <row r="1" spans="4:5" x14ac:dyDescent="0.15">
      <c r="D1" t="s">
        <v>93</v>
      </c>
      <c r="E1" t="s">
        <v>166</v>
      </c>
    </row>
    <row r="2" spans="4:5" x14ac:dyDescent="0.15">
      <c r="D2" t="s">
        <v>95</v>
      </c>
      <c r="E2" t="s">
        <v>167</v>
      </c>
    </row>
    <row r="3" spans="4:5" x14ac:dyDescent="0.15">
      <c r="D3" t="s">
        <v>97</v>
      </c>
      <c r="E3" t="s">
        <v>168</v>
      </c>
    </row>
    <row r="4" spans="4:5" x14ac:dyDescent="0.15">
      <c r="D4" t="s">
        <v>99</v>
      </c>
      <c r="E4" t="s">
        <v>169</v>
      </c>
    </row>
    <row r="5" spans="4:5" x14ac:dyDescent="0.15">
      <c r="D5" t="s">
        <v>102</v>
      </c>
      <c r="E5" t="s">
        <v>170</v>
      </c>
    </row>
    <row r="6" spans="4:5" x14ac:dyDescent="0.15">
      <c r="D6" t="s">
        <v>105</v>
      </c>
      <c r="E6" t="s">
        <v>171</v>
      </c>
    </row>
    <row r="7" spans="4:5" x14ac:dyDescent="0.15">
      <c r="D7" t="s">
        <v>108</v>
      </c>
      <c r="E7" t="s">
        <v>172</v>
      </c>
    </row>
    <row r="8" spans="4:5" x14ac:dyDescent="0.15">
      <c r="D8" t="s">
        <v>111</v>
      </c>
      <c r="E8" t="s">
        <v>173</v>
      </c>
    </row>
    <row r="9" spans="4:5" x14ac:dyDescent="0.15">
      <c r="D9" t="s">
        <v>102</v>
      </c>
      <c r="E9" t="s">
        <v>170</v>
      </c>
    </row>
    <row r="10" spans="4:5" x14ac:dyDescent="0.15">
      <c r="D10" t="s">
        <v>105</v>
      </c>
      <c r="E10" t="s">
        <v>171</v>
      </c>
    </row>
    <row r="11" spans="4:5" x14ac:dyDescent="0.15">
      <c r="D11" t="s">
        <v>108</v>
      </c>
      <c r="E11" t="s">
        <v>172</v>
      </c>
    </row>
    <row r="12" spans="4:5" x14ac:dyDescent="0.15">
      <c r="D12" t="s">
        <v>111</v>
      </c>
      <c r="E12" t="s">
        <v>173</v>
      </c>
    </row>
    <row r="13" spans="4:5" x14ac:dyDescent="0.15">
      <c r="D13" t="s">
        <v>114</v>
      </c>
      <c r="E13" t="s">
        <v>174</v>
      </c>
    </row>
    <row r="14" spans="4:5" x14ac:dyDescent="0.15">
      <c r="D14" t="s">
        <v>117</v>
      </c>
      <c r="E14" t="s">
        <v>175</v>
      </c>
    </row>
    <row r="15" spans="4:5" x14ac:dyDescent="0.15">
      <c r="D15" t="s">
        <v>120</v>
      </c>
      <c r="E15" t="s">
        <v>176</v>
      </c>
    </row>
    <row r="16" spans="4:5" x14ac:dyDescent="0.15">
      <c r="D16" t="s">
        <v>123</v>
      </c>
      <c r="E16" t="s">
        <v>177</v>
      </c>
    </row>
    <row r="17" spans="4:5" x14ac:dyDescent="0.15">
      <c r="D17" t="s">
        <v>114</v>
      </c>
      <c r="E17" t="s">
        <v>174</v>
      </c>
    </row>
    <row r="18" spans="4:5" x14ac:dyDescent="0.15">
      <c r="D18" t="s">
        <v>117</v>
      </c>
      <c r="E18" t="s">
        <v>175</v>
      </c>
    </row>
    <row r="19" spans="4:5" x14ac:dyDescent="0.15">
      <c r="D19" t="s">
        <v>120</v>
      </c>
      <c r="E19" t="s">
        <v>176</v>
      </c>
    </row>
    <row r="20" spans="4:5" x14ac:dyDescent="0.15">
      <c r="D20" t="s">
        <v>123</v>
      </c>
      <c r="E20" t="s">
        <v>177</v>
      </c>
    </row>
    <row r="21" spans="4:5" x14ac:dyDescent="0.15">
      <c r="D21" t="s">
        <v>126</v>
      </c>
      <c r="E21" t="s">
        <v>178</v>
      </c>
    </row>
    <row r="22" spans="4:5" x14ac:dyDescent="0.15">
      <c r="D22" t="s">
        <v>130</v>
      </c>
      <c r="E22" t="s">
        <v>179</v>
      </c>
    </row>
    <row r="23" spans="4:5" x14ac:dyDescent="0.15">
      <c r="D23" t="s">
        <v>134</v>
      </c>
      <c r="E23" t="s">
        <v>180</v>
      </c>
    </row>
    <row r="24" spans="4:5" x14ac:dyDescent="0.15">
      <c r="D24" t="s">
        <v>138</v>
      </c>
      <c r="E24" t="s">
        <v>181</v>
      </c>
    </row>
    <row r="25" spans="4:5" x14ac:dyDescent="0.15">
      <c r="D25" t="s">
        <v>126</v>
      </c>
      <c r="E25" t="s">
        <v>178</v>
      </c>
    </row>
    <row r="26" spans="4:5" x14ac:dyDescent="0.15">
      <c r="D26" t="s">
        <v>130</v>
      </c>
      <c r="E26" t="s">
        <v>179</v>
      </c>
    </row>
    <row r="27" spans="4:5" x14ac:dyDescent="0.15">
      <c r="D27" t="s">
        <v>134</v>
      </c>
      <c r="E27" t="s">
        <v>180</v>
      </c>
    </row>
    <row r="28" spans="4:5" x14ac:dyDescent="0.15">
      <c r="D28" t="s">
        <v>138</v>
      </c>
      <c r="E28" t="s">
        <v>181</v>
      </c>
    </row>
    <row r="29" spans="4:5" x14ac:dyDescent="0.15">
      <c r="D29" t="s">
        <v>141</v>
      </c>
      <c r="E29" t="s">
        <v>182</v>
      </c>
    </row>
    <row r="30" spans="4:5" x14ac:dyDescent="0.15">
      <c r="D30" t="s">
        <v>144</v>
      </c>
      <c r="E30" t="s">
        <v>183</v>
      </c>
    </row>
    <row r="31" spans="4:5" x14ac:dyDescent="0.15">
      <c r="D31" t="s">
        <v>147</v>
      </c>
      <c r="E31" t="s">
        <v>184</v>
      </c>
    </row>
    <row r="32" spans="4:5" x14ac:dyDescent="0.15">
      <c r="D32" t="s">
        <v>150</v>
      </c>
      <c r="E32" t="s">
        <v>185</v>
      </c>
    </row>
    <row r="33" spans="4:5" x14ac:dyDescent="0.15">
      <c r="D33" t="s">
        <v>141</v>
      </c>
      <c r="E33" t="s">
        <v>182</v>
      </c>
    </row>
    <row r="34" spans="4:5" x14ac:dyDescent="0.15">
      <c r="D34" t="s">
        <v>144</v>
      </c>
      <c r="E34" t="s">
        <v>183</v>
      </c>
    </row>
    <row r="35" spans="4:5" x14ac:dyDescent="0.15">
      <c r="D35" t="s">
        <v>147</v>
      </c>
      <c r="E35" t="s">
        <v>184</v>
      </c>
    </row>
    <row r="36" spans="4:5" x14ac:dyDescent="0.15">
      <c r="D36" t="s">
        <v>150</v>
      </c>
      <c r="E36" t="s">
        <v>185</v>
      </c>
    </row>
    <row r="37" spans="4:5" x14ac:dyDescent="0.15">
      <c r="D37" t="s">
        <v>154</v>
      </c>
      <c r="E37" t="s">
        <v>186</v>
      </c>
    </row>
    <row r="38" spans="4:5" x14ac:dyDescent="0.15">
      <c r="D38" t="s">
        <v>157</v>
      </c>
      <c r="E38" t="s">
        <v>187</v>
      </c>
    </row>
    <row r="39" spans="4:5" x14ac:dyDescent="0.15">
      <c r="D39" t="s">
        <v>160</v>
      </c>
      <c r="E39" t="s">
        <v>188</v>
      </c>
    </row>
    <row r="40" spans="4:5" x14ac:dyDescent="0.15">
      <c r="D40" t="s">
        <v>163</v>
      </c>
      <c r="E40" t="s">
        <v>189</v>
      </c>
    </row>
    <row r="41" spans="4:5" x14ac:dyDescent="0.15">
      <c r="D41" t="s">
        <v>154</v>
      </c>
      <c r="E41" t="s">
        <v>186</v>
      </c>
    </row>
    <row r="42" spans="4:5" x14ac:dyDescent="0.15">
      <c r="D42" t="s">
        <v>157</v>
      </c>
      <c r="E42" t="s">
        <v>187</v>
      </c>
    </row>
    <row r="43" spans="4:5" x14ac:dyDescent="0.15">
      <c r="D43" t="s">
        <v>160</v>
      </c>
      <c r="E43" t="s">
        <v>188</v>
      </c>
    </row>
    <row r="44" spans="4:5" x14ac:dyDescent="0.15">
      <c r="D44" t="s">
        <v>163</v>
      </c>
      <c r="E44" t="s">
        <v>189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2020-04-28T09:58:35Z</dcterms:modified>
</cp:coreProperties>
</file>